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DA4E8BEE-9F7C-4778-ABC0-73075EA945D8}" xr6:coauthVersionLast="47" xr6:coauthVersionMax="47" xr10:uidLastSave="{00000000-0000-0000-0000-000000000000}"/>
  <bookViews>
    <workbookView xWindow="-120" yWindow="-120" windowWidth="29040" windowHeight="15840" tabRatio="947" activeTab="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8" i="8" l="1"/>
  <c r="AU9" i="8"/>
  <c r="AU10" i="8"/>
  <c r="AU11" i="8"/>
  <c r="AU12" i="8"/>
  <c r="AU7" i="8"/>
  <c r="A8" i="8" l="1"/>
  <c r="B8" i="8"/>
  <c r="E8" i="8"/>
  <c r="F8" i="8"/>
  <c r="O8" i="8"/>
  <c r="M8" i="8" s="1"/>
  <c r="S8" i="8"/>
  <c r="T8" i="8"/>
  <c r="P8" i="8" s="1"/>
  <c r="U8" i="8"/>
  <c r="V8" i="8"/>
  <c r="W8" i="8"/>
  <c r="X8" i="8"/>
  <c r="Y8" i="8"/>
  <c r="C8" i="8" s="1"/>
  <c r="AA8" i="8"/>
  <c r="AB8" i="8"/>
  <c r="AC8" i="8"/>
  <c r="AD8" i="8"/>
  <c r="AE8" i="8"/>
  <c r="AF8" i="8" s="1"/>
  <c r="AM8" i="8"/>
  <c r="AN8" i="8"/>
  <c r="AO8" i="8"/>
  <c r="AP8" i="8"/>
  <c r="AQ8" i="8"/>
  <c r="AR8" i="8"/>
  <c r="AS8" i="8"/>
  <c r="AX8" i="8" s="1"/>
  <c r="AT8" i="8"/>
  <c r="A9" i="8"/>
  <c r="B9" i="8"/>
  <c r="E9" i="8"/>
  <c r="F9" i="8"/>
  <c r="I9" i="8"/>
  <c r="P9" i="8"/>
  <c r="N9" i="8" s="1"/>
  <c r="S9" i="8"/>
  <c r="O9" i="8" s="1"/>
  <c r="T9" i="8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J9" i="8" s="1"/>
  <c r="AE9" i="8"/>
  <c r="AF9" i="8"/>
  <c r="AM9" i="8"/>
  <c r="AN9" i="8"/>
  <c r="AO9" i="8"/>
  <c r="AP9" i="8"/>
  <c r="AQ9" i="8"/>
  <c r="AR9" i="8"/>
  <c r="AS9" i="8"/>
  <c r="AY9" i="8" s="1"/>
  <c r="AT9" i="8"/>
  <c r="AX9" i="8"/>
  <c r="BI9" i="8"/>
  <c r="L9" i="8" s="1"/>
  <c r="A10" i="8"/>
  <c r="B10" i="8"/>
  <c r="C10" i="8"/>
  <c r="AG10" i="8" s="1"/>
  <c r="BD10" i="8" s="1"/>
  <c r="D10" i="8"/>
  <c r="AH10" i="8" s="1"/>
  <c r="BF10" i="8" s="1"/>
  <c r="E10" i="8"/>
  <c r="F10" i="8"/>
  <c r="S10" i="8"/>
  <c r="O10" i="8" s="1"/>
  <c r="M10" i="8" s="1"/>
  <c r="T10" i="8"/>
  <c r="P10" i="8" s="1"/>
  <c r="N10" i="8" s="1"/>
  <c r="U10" i="8"/>
  <c r="V10" i="8"/>
  <c r="W10" i="8"/>
  <c r="X10" i="8"/>
  <c r="Y10" i="8"/>
  <c r="AA10" i="8"/>
  <c r="AB10" i="8"/>
  <c r="AC10" i="8"/>
  <c r="AD10" i="8" s="1"/>
  <c r="AE10" i="8"/>
  <c r="AF10" i="8"/>
  <c r="AM10" i="8"/>
  <c r="AN10" i="8"/>
  <c r="AO10" i="8"/>
  <c r="AP10" i="8"/>
  <c r="AQ10" i="8"/>
  <c r="AR10" i="8"/>
  <c r="AS10" i="8"/>
  <c r="AX10" i="8" s="1"/>
  <c r="AT10" i="8"/>
  <c r="BH10" i="8"/>
  <c r="BI10" i="8"/>
  <c r="G10" i="8" s="1"/>
  <c r="A11" i="8"/>
  <c r="B11" i="8"/>
  <c r="C11" i="8"/>
  <c r="BH11" i="8" s="1"/>
  <c r="D11" i="8"/>
  <c r="E11" i="8"/>
  <c r="F11" i="8"/>
  <c r="O11" i="8"/>
  <c r="M11" i="8" s="1"/>
  <c r="P11" i="8"/>
  <c r="N11" i="8" s="1"/>
  <c r="S11" i="8"/>
  <c r="T11" i="8"/>
  <c r="U11" i="8"/>
  <c r="V11" i="8"/>
  <c r="W11" i="8"/>
  <c r="BF11" i="8" s="1"/>
  <c r="X11" i="8"/>
  <c r="Y11" i="8"/>
  <c r="AA11" i="8"/>
  <c r="AB11" i="8"/>
  <c r="AC11" i="8"/>
  <c r="AD11" i="8"/>
  <c r="AE11" i="8"/>
  <c r="BI11" i="8" s="1"/>
  <c r="AF11" i="8"/>
  <c r="AH11" i="8"/>
  <c r="AM11" i="8"/>
  <c r="AN11" i="8"/>
  <c r="AO11" i="8"/>
  <c r="AP11" i="8"/>
  <c r="AQ11" i="8"/>
  <c r="AR11" i="8"/>
  <c r="AS11" i="8"/>
  <c r="AX11" i="8" s="1"/>
  <c r="AT11" i="8"/>
  <c r="AY11" i="8"/>
  <c r="A12" i="8"/>
  <c r="B12" i="8"/>
  <c r="C12" i="8"/>
  <c r="AG12" i="8" s="1"/>
  <c r="BD12" i="8" s="1"/>
  <c r="E12" i="8"/>
  <c r="F12" i="8"/>
  <c r="BI12" i="8" s="1"/>
  <c r="N12" i="8"/>
  <c r="P12" i="8"/>
  <c r="S12" i="8"/>
  <c r="O12" i="8" s="1"/>
  <c r="M12" i="8" s="1"/>
  <c r="T12" i="8"/>
  <c r="U12" i="8"/>
  <c r="V12" i="8"/>
  <c r="W12" i="8"/>
  <c r="X12" i="8"/>
  <c r="Y12" i="8"/>
  <c r="D12" i="8" s="1"/>
  <c r="AH12" i="8" s="1"/>
  <c r="BF12" i="8" s="1"/>
  <c r="AA12" i="8"/>
  <c r="AB12" i="8"/>
  <c r="AC12" i="8"/>
  <c r="AD12" i="8"/>
  <c r="AE12" i="8"/>
  <c r="AF12" i="8"/>
  <c r="AM12" i="8"/>
  <c r="AN12" i="8"/>
  <c r="AO12" i="8"/>
  <c r="AP12" i="8"/>
  <c r="AQ12" i="8"/>
  <c r="AR12" i="8"/>
  <c r="AS12" i="8"/>
  <c r="AT12" i="8"/>
  <c r="AX12" i="8"/>
  <c r="AY12" i="8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M9" i="8" l="1"/>
  <c r="BC9" i="8"/>
  <c r="N8" i="8"/>
  <c r="J11" i="8"/>
  <c r="H11" i="8"/>
  <c r="K11" i="8"/>
  <c r="BE11" i="8" s="1"/>
  <c r="AL11" i="8" s="1"/>
  <c r="L11" i="8"/>
  <c r="G11" i="8"/>
  <c r="BC11" i="8"/>
  <c r="I11" i="8"/>
  <c r="J12" i="8"/>
  <c r="BC12" i="8" s="1"/>
  <c r="AK12" i="8" s="1"/>
  <c r="K12" i="8"/>
  <c r="BE12" i="8" s="1"/>
  <c r="AL12" i="8" s="1"/>
  <c r="G12" i="8"/>
  <c r="H12" i="8"/>
  <c r="I12" i="8"/>
  <c r="L12" i="8"/>
  <c r="AG8" i="8"/>
  <c r="BD8" i="8" s="1"/>
  <c r="BH12" i="8"/>
  <c r="AG11" i="8"/>
  <c r="BD11" i="8" s="1"/>
  <c r="AK11" i="8" s="1"/>
  <c r="K9" i="8"/>
  <c r="BE9" i="8" s="1"/>
  <c r="AL9" i="8" s="1"/>
  <c r="C9" i="8"/>
  <c r="AY10" i="8"/>
  <c r="K10" i="8"/>
  <c r="H9" i="8"/>
  <c r="BI8" i="8"/>
  <c r="J10" i="8"/>
  <c r="G9" i="8"/>
  <c r="D8" i="8"/>
  <c r="AH8" i="8" s="1"/>
  <c r="BF8" i="8" s="1"/>
  <c r="L10" i="8"/>
  <c r="BE10" i="8" s="1"/>
  <c r="AL10" i="8" s="1"/>
  <c r="I10" i="8"/>
  <c r="AY8" i="8"/>
  <c r="H10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H9" i="8" l="1"/>
  <c r="AG9" i="8"/>
  <c r="BD9" i="8" s="1"/>
  <c r="AK9" i="8" s="1"/>
  <c r="AV9" i="8"/>
  <c r="I8" i="8"/>
  <c r="J8" i="8"/>
  <c r="BC8" i="8" s="1"/>
  <c r="AK8" i="8" s="1"/>
  <c r="G8" i="8"/>
  <c r="K8" i="8"/>
  <c r="L8" i="8"/>
  <c r="H8" i="8"/>
  <c r="AV11" i="8"/>
  <c r="AW11" i="8"/>
  <c r="R11" i="8" s="1"/>
  <c r="AV10" i="8"/>
  <c r="AW12" i="8"/>
  <c r="R12" i="8" s="1"/>
  <c r="AW9" i="8"/>
  <c r="R9" i="8" s="1"/>
  <c r="BC10" i="8"/>
  <c r="AK10" i="8" s="1"/>
  <c r="BH8" i="8"/>
  <c r="C7" i="26"/>
  <c r="E7" i="26"/>
  <c r="AF4" i="26"/>
  <c r="AJ4" i="24"/>
  <c r="AE4" i="22"/>
  <c r="AI4" i="19"/>
  <c r="AA4" i="10"/>
  <c r="AE3" i="8"/>
  <c r="AZ11" i="8" l="1"/>
  <c r="Q11" i="8"/>
  <c r="AV12" i="8"/>
  <c r="AZ10" i="8"/>
  <c r="Q10" i="8"/>
  <c r="BE8" i="8"/>
  <c r="AL8" i="8" s="1"/>
  <c r="AV8" i="8"/>
  <c r="AW8" i="8"/>
  <c r="R8" i="8" s="1"/>
  <c r="AZ9" i="8"/>
  <c r="Q9" i="8"/>
  <c r="AW10" i="8"/>
  <c r="R10" i="8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Z10" i="8" l="1"/>
  <c r="BG10" i="8"/>
  <c r="Q8" i="8"/>
  <c r="AZ8" i="8"/>
  <c r="Z9" i="8"/>
  <c r="BG9" i="8"/>
  <c r="Q12" i="8"/>
  <c r="AZ12" i="8"/>
  <c r="Z11" i="8"/>
  <c r="BG11" i="8"/>
  <c r="AI7" i="32"/>
  <c r="AE4" i="32"/>
  <c r="AD7" i="28"/>
  <c r="AA4" i="28"/>
  <c r="AH7" i="32"/>
  <c r="AE7" i="26"/>
  <c r="AK7" i="32"/>
  <c r="C7" i="19"/>
  <c r="D7" i="24"/>
  <c r="AI9" i="8" l="1"/>
  <c r="BB9" i="8"/>
  <c r="BA9" i="8"/>
  <c r="Z8" i="8"/>
  <c r="BG8" i="8"/>
  <c r="Z12" i="8"/>
  <c r="BG12" i="8"/>
  <c r="AI11" i="8"/>
  <c r="BA11" i="8"/>
  <c r="BB11" i="8"/>
  <c r="BA10" i="8"/>
  <c r="AI10" i="8"/>
  <c r="BB10" i="8"/>
  <c r="AS7" i="32"/>
  <c r="T7" i="32" s="1"/>
  <c r="AR7" i="32"/>
  <c r="AJ9" i="8" l="1"/>
  <c r="AI12" i="8"/>
  <c r="BB12" i="8"/>
  <c r="BA12" i="8"/>
  <c r="AI8" i="8"/>
  <c r="BA8" i="8"/>
  <c r="BB8" i="8"/>
  <c r="AJ10" i="8"/>
  <c r="AJ11" i="8"/>
  <c r="S7" i="32"/>
  <c r="Q7" i="32" s="1"/>
  <c r="AD7" i="32"/>
  <c r="AC7" i="32" s="1"/>
  <c r="R7" i="32"/>
  <c r="U7" i="26"/>
  <c r="S7" i="26" s="1"/>
  <c r="AJ8" i="8" l="1"/>
  <c r="AJ12" i="8"/>
  <c r="AL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<sst xmlns="http://schemas.openxmlformats.org/spreadsheetml/2006/main" count="1170" uniqueCount="338">
  <si>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</si>
  <si>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</si>
  <si>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</si>
  <si>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</si>
  <si>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</si>
  <si>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</si>
  <si>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</si>
  <si>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</si>
  <si>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</si>
  <si>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</si>
  <si>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</si>
  <si>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</si>
  <si>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</si>
  <si>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</si>
  <si>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</si>
  <si>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</si>
  <si>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</si>
  <si>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</si>
  <si>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</si>
  <si>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</si>
  <si>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</si>
  <si>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</si>
  <si>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</si>
  <si>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</si>
  <si>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</si>
  <si>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</si>
  <si>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</si>
  <si>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</si>
  <si>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</si>
  <si>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</si>
  <si>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</si>
  <si>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</si>
  <si>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</si>
  <si>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</si>
  <si>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</si>
  <si>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</si>
  <si>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</si>
  <si>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</si>
  <si>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</si>
  <si>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</si>
  <si>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</si>
  <si>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</si>
  <si>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</si>
  <si>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</si>
  <si>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</si>
  <si>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</si>
  <si>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</si>
  <si>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</si>
  <si>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</si>
  <si>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</si>
  <si>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</si>
  <si>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</si>
  <si>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</si>
  <si>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</si>
  <si>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</si>
  <si>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</si>
  <si>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</si>
  <si>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</si>
  <si>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</si>
  <si>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</si>
  <si>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</si>
  <si>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</si>
  <si>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</si>
  <si>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</si>
  <si>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</si>
  <si>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</si>
  <si>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</si>
  <si>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</si>
  <si>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</si>
  <si>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</si>
  <si>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</si>
  <si>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</si>
  <si>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</si>
  <si>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</si>
  <si>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</si>
  <si>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</si>
  <si>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</si>
  <si>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</si>
  <si>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</si>
  <si>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</si>
  <si>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</si>
  <si>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</si>
  <si>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</si>
  <si>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</si>
  <si>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</si>
  <si>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</si>
  <si>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</si>
  <si>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</si>
  <si>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</si>
  <si>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</si>
  <si>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</si>
  <si>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</si>
  <si>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</si>
  <si>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</si>
  <si>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</si>
  <si>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</si>
  <si>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</si>
  <si>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</si>
  <si>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</si>
  <si>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</si>
  <si>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</si>
  <si>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</si>
  <si>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</si>
  <si>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</si>
  <si>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</si>
  <si>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</si>
  <si>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</si>
  <si>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</si>
  <si>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</si>
  <si>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</si>
  <si>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</si>
  <si>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</si>
  <si>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</si>
  <si>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</si>
  <si>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</si>
  <si>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</si>
  <si>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</si>
  <si>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</si>
  <si>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</si>
  <si>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</si>
  <si>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</si>
  <si>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</si>
  <si>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</si>
  <si>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</si>
  <si>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</si>
  <si>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</si>
  <si>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</si>
  <si>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</si>
  <si>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</si>
  <si>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</si>
  <si>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</si>
  <si>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</si>
  <si>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</si>
  <si>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</si>
  <si>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</si>
  <si>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</si>
  <si>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</si>
  <si>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</si>
  <si>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</si>
  <si>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</si>
  <si>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</si>
  <si>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</si>
  <si>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</si>
  <si>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</si>
  <si>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</si>
  <si>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</si>
  <si>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</si>
  <si>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</si>
  <si>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</si>
  <si>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</si>
  <si>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</si>
  <si>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</si>
  <si>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</si>
  <si>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</si>
  <si>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</si>
  <si>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</si>
  <si>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</si>
  <si>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</si>
  <si>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</si>
  <si>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</si>
  <si>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</si>
  <si>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</si>
  <si>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</si>
  <si>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</si>
  <si>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</si>
  <si>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</si>
  <si>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</si>
  <si>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</si>
  <si>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</si>
  <si>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</si>
  <si>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</si>
  <si>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</si>
  <si>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</si>
  <si>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</si>
  <si>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</si>
  <si>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</si>
  <si>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</si>
  <si>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</si>
  <si>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</si>
  <si>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</si>
  <si>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</si>
  <si>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</si>
  <si>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</si>
  <si>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</si>
  <si>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</si>
  <si>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</si>
  <si>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</si>
  <si>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</si>
  <si>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</si>
  <si>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</si>
  <si>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</si>
  <si>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</si>
  <si>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</si>
  <si>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</si>
  <si>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</si>
  <si>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</si>
  <si>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</si>
  <si>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</si>
  <si>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</si>
  <si>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</si>
  <si>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</si>
  <si>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</si>
  <si>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</si>
  <si>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</si>
  <si>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</si>
  <si>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</si>
  <si>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</si>
  <si>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</si>
  <si>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</si>
  <si>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</si>
  <si>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</si>
  <si>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</si>
  <si>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</si>
  <si>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</si>
  <si>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</si>
  <si>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</si>
  <si>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</si>
  <si>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</si>
  <si>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</si>
  <si>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</si>
  <si>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</si>
  <si>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</si>
  <si>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</si>
  <si>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</si>
  <si>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</si>
  <si>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</si>
  <si>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</si>
  <si>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</si>
  <si>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</si>
  <si>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</si>
  <si>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</si>
  <si>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</si>
  <si>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</si>
  <si>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</si>
  <si>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</si>
  <si>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</si>
  <si>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</si>
  <si>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</si>
  <si>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</si>
  <si>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</si>
  <si>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</si>
  <si>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</si>
  <si>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</si>
  <si>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</si>
  <si>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</si>
  <si>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</si>
  <si>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</si>
  <si>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</si>
  <si>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</si>
  <si>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</si>
  <si>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</si>
  <si>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</si>
  <si>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</si>
  <si>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</si>
  <si>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</si>
  <si>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</si>
  <si>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</si>
  <si>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</si>
  <si>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</si>
  <si>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</si>
  <si>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</si>
  <si>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</si>
  <si>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</si>
  <si>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</si>
  <si>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</si>
  <si>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</si>
  <si>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</si>
  <si>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</si>
  <si>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</si>
  <si>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</si>
  <si>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</si>
  <si>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</si>
  <si>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</si>
  <si>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</si>
  <si>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</si>
  <si>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</si>
  <si>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</si>
  <si>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</si>
  <si>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</si>
  <si>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</si>
  <si>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</si>
  <si>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</si>
  <si>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</si>
  <si>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</si>
  <si>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</si>
  <si>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</si>
  <si>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</si>
  <si>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</si>
  <si>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</si>
  <si>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</si>
  <si>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</si>
  <si>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</si>
  <si>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</si>
  <si>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</si>
  <si>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</si>
  <si>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</si>
  <si>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</si>
  <si>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</si>
  <si>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</si>
  <si>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</si>
  <si>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</si>
  <si>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</si>
  <si>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</si>
  <si>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</si>
  <si>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</si>
  <si>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</si>
  <si>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</si>
  <si>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</si>
  <si>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</si>
  <si>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</si>
  <si>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</si>
  <si>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</si>
  <si>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</si>
  <si>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</si>
  <si>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</si>
  <si>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</si>
  <si>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</si>
  <si>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</si>
  <si>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</si>
  <si>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</si>
  <si>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</si>
  <si>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</si>
  <si>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</si>
  <si>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</si>
  <si>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</si>
  <si>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</si>
  <si>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</si>
  <si>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</si>
  <si>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</si>
  <si>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</si>
  <si>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</si>
  <si>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</si>
  <si>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</si>
  <si>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</si>
  <si>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</si>
  <si>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(판매)남양주초</t>
  </si>
  <si>
    <t>유영</t>
  </si>
  <si>
    <t>VIB 1.2T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</si>
</sst>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8" sqref="B8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(판매)남양주초 ) _유영소장</v>
      </c>
      <c r="C2" s="39" t="str">
        <f>"(와이드) 제작변환 자료( "&amp;B1&amp;" ) _"&amp;소장 &amp;"소장"</f>
        <v>(와이드) 제작변환 자료( (판매)남양주초 ) _유영소장</v>
      </c>
      <c r="D2" s="154" t="s">
        <v>312</v>
      </c>
      <c r="E2" s="150" t="str">
        <f>"(SO와이드) 실측서 ( " &amp; B1 &amp; " ) _"&amp;소장 &amp;"소장"</f>
        <v>(SO와이드) 실측서 ( (판매)남양주초 ) _유영소장</v>
      </c>
      <c r="F2" s="150" t="str">
        <f>"(SO와이드) 제작변환 ( " &amp; B1 &amp; " ) _"&amp;소장 &amp;"소장"</f>
        <v>(SO와이드) 제작변환 ( (판매)남양주초 ) _유영소장</v>
      </c>
      <c r="G2" s="152" t="s">
        <v>314</v>
      </c>
      <c r="H2" s="147" t="str">
        <f>"(4CO와이드) 실측서 ( " &amp; B1 &amp; " ) _"&amp;소장 &amp;"소장"</f>
        <v>(4CO와이드) 실측서 ( (판매)남양주초 ) _유영소장</v>
      </c>
      <c r="I2" s="147" t="str">
        <f>"(4CO와이드) 제작변환 ( " &amp; B1 &amp; " ) _"&amp;소장 &amp;"소장"</f>
        <v>(4CO와이드) 제작변환 ( (판매)남양주초 ) _유영소장</v>
      </c>
      <c r="J2" s="152" t="s">
        <v>316</v>
      </c>
      <c r="K2" s="153" t="str">
        <f>"(2UP) 실측서 ( " &amp; B1 &amp; " ) _"&amp;소장 &amp;"소장"</f>
        <v>(2UP) 실측서 ( (판매)남양주초 ) _유영소장</v>
      </c>
      <c r="L2" s="153" t="str">
        <f>"(2UP) 제작변환 ( " &amp; B1 &amp; " ) _"&amp;소장 &amp;"소장"</f>
        <v>(2UP) 제작변환 ( (판매)남양주초 ) _유영소장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(판매)남양주초 ) _유영소장</v>
      </c>
      <c r="C3" s="39" t="str">
        <f>"(멍텅구리) 제작변환 자료( "&amp;B1&amp;" ) _"&amp;소장 &amp;"소장"</f>
        <v>(멍텅구리) 제작변환 자료( (판매)남양주초 ) _유영소장</v>
      </c>
      <c r="D3" s="154" t="s">
        <v>313</v>
      </c>
      <c r="E3" s="150" t="str">
        <f>"(SO멍텅구리) 실측서 ( " &amp; B1 &amp; " ) _"&amp;소장 &amp;"소장"</f>
        <v>(SO멍텅구리) 실측서 ( (판매)남양주초 ) _유영소장</v>
      </c>
      <c r="F3" s="150" t="str">
        <f>"(SO멍텅구리) 제작변환 ( " &amp; B1 &amp; " ) _"&amp;소장 &amp;"소장"</f>
        <v>(SO멍텅구리) 제작변환 ( (판매)남양주초 ) _유영소장</v>
      </c>
      <c r="G3" s="152" t="s">
        <v>315</v>
      </c>
      <c r="H3" s="147" t="str">
        <f>"(4CO멍텅구리) 실측서 ( " &amp; B1 &amp; " ) _"&amp;소장 &amp;"소장"</f>
        <v>(4CO멍텅구리) 실측서 ( (판매)남양주초 ) _유영소장</v>
      </c>
      <c r="I3" s="147" t="str">
        <f>"(4CO멍텅구리) 제작변환 ( " &amp; B1 &amp; " ) _"&amp;소장 &amp;"소장"</f>
        <v>(4CO멍텅구리) 제작변환 ( (판매)남양주초 ) _유영소장</v>
      </c>
      <c r="J3" s="152" t="s">
        <v>317</v>
      </c>
      <c r="K3" s="153" t="str">
        <f>"(3UP) 실측서 ( " &amp; B1 &amp; " ) _"&amp;소장 &amp;"소장"</f>
        <v>(3UP) 실측서 ( (판매)남양주초 ) _유영소장</v>
      </c>
      <c r="L3" s="153" t="str">
        <f>"(3UP) 제작변환 ( " &amp; B1 &amp; " ) _"&amp;소장 &amp;"소장"</f>
        <v>(3UP) 제작변환 ( (판매)남양주초 ) _유영소장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(판매)남양주초 ) _유영소장</v>
      </c>
      <c r="C4" s="39" t="str">
        <f>"(쪽쟘) 제작변환 자료( "&amp;B1&amp;" ) _"&amp;소장 &amp;"소장"</f>
        <v>(쪽쟘) 제작변환 자료( (판매)남양주초 ) _유영소장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337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+(0 ),  늘어난치수K -(0),  C + (0),   U + (0), OP - (0),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(판매)남양주초</v>
      </c>
      <c r="E2" s="3" t="str">
        <f>정보!B6</f>
        <v>유영</v>
      </c>
      <c r="F2" s="3" t="str">
        <f>정보!B7</f>
        <v>VIB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45514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abSelected="1"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(판매)남양주초 ) _유영소장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(판매)남양주초,   (재질) : VIB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(0),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295</v>
      </c>
      <c r="D7" s="4">
        <v>295</v>
      </c>
      <c r="E7" s="4">
        <v>1097</v>
      </c>
      <c r="F7" s="4">
        <v>1092</v>
      </c>
      <c r="G7" s="4">
        <v>220</v>
      </c>
      <c r="H7" s="4">
        <v>220</v>
      </c>
      <c r="I7" s="4">
        <v>240</v>
      </c>
      <c r="J7" s="4">
        <v>240</v>
      </c>
      <c r="K7" s="13">
        <v>14</v>
      </c>
      <c r="L7" s="13">
        <v>18</v>
      </c>
      <c r="M7" s="4"/>
      <c r="N7" s="4"/>
      <c r="O7" s="4"/>
      <c r="P7" s="4"/>
      <c r="Q7" s="4">
        <v>2090</v>
      </c>
      <c r="R7" s="4">
        <v>2090</v>
      </c>
      <c r="S7" s="4">
        <v>2090</v>
      </c>
      <c r="T7" s="4">
        <v>2090</v>
      </c>
      <c r="U7" s="4">
        <v>30</v>
      </c>
      <c r="V7" s="4">
        <v>0</v>
      </c>
      <c r="W7" s="4">
        <v>22</v>
      </c>
      <c r="X7" s="4">
        <v>32</v>
      </c>
      <c r="Y7" s="4">
        <v>75</v>
      </c>
      <c r="Z7" s="4">
        <v>75</v>
      </c>
      <c r="AA7" s="4">
        <v>75</v>
      </c>
      <c r="AB7" s="4">
        <v>75</v>
      </c>
      <c r="AC7" s="4"/>
      <c r="AD7" s="4"/>
      <c r="AE7" s="4"/>
      <c r="AF7" s="4"/>
      <c r="AG7" s="4">
        <v>130</v>
      </c>
      <c r="AH7" s="4"/>
      <c r="AI7" s="4"/>
      <c r="AJ7" s="4"/>
      <c r="AK7" s="53"/>
      <c r="AL7" s="3">
        <f>Y7+$AK7</f>
        <v>75</v>
      </c>
      <c r="AM7" s="3">
        <f>Z7+$AK7</f>
        <v>75</v>
      </c>
      <c r="AN7" s="3">
        <f>AA7+$AK7</f>
        <v>75</v>
      </c>
      <c r="AO7" s="3">
        <f>AB7+$AK7</f>
        <v>75</v>
      </c>
      <c r="AP7" s="3">
        <f>G7-$AK7</f>
        <v>220</v>
      </c>
      <c r="AQ7" s="3">
        <f>H7-$AK7</f>
        <v>220</v>
      </c>
      <c r="AR7" s="3">
        <f>I7-$AK7</f>
        <v>240</v>
      </c>
      <c r="AS7" s="3">
        <f>J7-$AK7</f>
        <v>240</v>
      </c>
    </row>
    <row r="8" spans="1:45" ht="23.25" customHeight="1" x14ac:dyDescent="0.3">
      <c r="A8" s="127"/>
      <c r="B8" s="4">
        <v>2</v>
      </c>
      <c r="C8" s="4">
        <v>295</v>
      </c>
      <c r="D8" s="4">
        <v>295</v>
      </c>
      <c r="E8" s="4">
        <v>1097</v>
      </c>
      <c r="F8" s="4">
        <v>1092</v>
      </c>
      <c r="G8" s="4">
        <v>220</v>
      </c>
      <c r="H8" s="4">
        <v>220</v>
      </c>
      <c r="I8" s="4">
        <v>240</v>
      </c>
      <c r="J8" s="4">
        <v>240</v>
      </c>
      <c r="K8" s="13">
        <v>18</v>
      </c>
      <c r="L8" s="13">
        <v>15</v>
      </c>
      <c r="M8" s="4"/>
      <c r="N8" s="4"/>
      <c r="O8" s="4"/>
      <c r="P8" s="4"/>
      <c r="Q8" s="4">
        <v>2090</v>
      </c>
      <c r="R8" s="4">
        <v>2090</v>
      </c>
      <c r="S8" s="4">
        <v>2090</v>
      </c>
      <c r="T8" s="4">
        <v>2090</v>
      </c>
      <c r="U8" s="4">
        <v>25</v>
      </c>
      <c r="V8" s="4">
        <v>0</v>
      </c>
      <c r="W8" s="4">
        <v>22</v>
      </c>
      <c r="X8" s="4">
        <v>32</v>
      </c>
      <c r="Y8" s="4">
        <v>75</v>
      </c>
      <c r="Z8" s="4">
        <v>75</v>
      </c>
      <c r="AA8" s="4">
        <v>75</v>
      </c>
      <c r="AB8" s="4">
        <v>75</v>
      </c>
      <c r="AC8" s="4"/>
      <c r="AD8" s="4"/>
      <c r="AE8" s="4"/>
      <c r="AF8" s="4"/>
      <c r="AG8" s="4">
        <v>130</v>
      </c>
      <c r="AH8" s="4"/>
      <c r="AI8" s="4"/>
      <c r="AJ8" s="4"/>
      <c r="AK8" s="53"/>
      <c r="AL8" s="3">
        <f t="shared" ref="AL8" si="0">Y8+$AK8</f>
        <v>75</v>
      </c>
      <c r="AM8" s="3">
        <f>Z8+$AK8</f>
        <v>75</v>
      </c>
      <c r="AN8" s="3">
        <f>AA8+$AK8</f>
        <v>75</v>
      </c>
      <c r="AO8" s="3">
        <f>AB8+$AK8</f>
        <v>75</v>
      </c>
      <c r="AP8" s="3">
        <f t="shared" ref="AP8" si="1">G8-$AK8</f>
        <v>220</v>
      </c>
      <c r="AQ8" s="3">
        <f>H8-$AK8</f>
        <v>220</v>
      </c>
      <c r="AR8" s="3">
        <f>I8-$AK8</f>
        <v>240</v>
      </c>
      <c r="AS8" s="3">
        <f>J8-$AK8</f>
        <v>240</v>
      </c>
    </row>
    <row r="9" spans="1:45" ht="23.25" customHeight="1" x14ac:dyDescent="0.3">
      <c r="A9" s="127"/>
      <c r="B9" s="4">
        <v>3</v>
      </c>
      <c r="C9" s="4">
        <v>295</v>
      </c>
      <c r="D9" s="4">
        <v>295</v>
      </c>
      <c r="E9" s="4">
        <v>1097</v>
      </c>
      <c r="F9" s="4">
        <v>1092</v>
      </c>
      <c r="G9" s="4">
        <v>220</v>
      </c>
      <c r="H9" s="4">
        <v>220</v>
      </c>
      <c r="I9" s="4">
        <v>240</v>
      </c>
      <c r="J9" s="4">
        <v>240</v>
      </c>
      <c r="K9" s="13">
        <v>15</v>
      </c>
      <c r="L9" s="13">
        <v>15</v>
      </c>
      <c r="M9" s="4"/>
      <c r="N9" s="4"/>
      <c r="O9" s="4"/>
      <c r="P9" s="4"/>
      <c r="Q9" s="4">
        <v>2090</v>
      </c>
      <c r="R9" s="4">
        <v>2090</v>
      </c>
      <c r="S9" s="4">
        <v>2090</v>
      </c>
      <c r="T9" s="4">
        <v>2090</v>
      </c>
      <c r="U9" s="4">
        <v>25</v>
      </c>
      <c r="V9" s="4">
        <v>0</v>
      </c>
      <c r="W9" s="4">
        <v>22</v>
      </c>
      <c r="X9" s="4">
        <v>32</v>
      </c>
      <c r="Y9" s="4">
        <v>75</v>
      </c>
      <c r="Z9" s="4">
        <v>75</v>
      </c>
      <c r="AA9" s="4">
        <v>75</v>
      </c>
      <c r="AB9" s="4">
        <v>75</v>
      </c>
      <c r="AC9" s="4"/>
      <c r="AD9" s="4"/>
      <c r="AE9" s="4"/>
      <c r="AF9" s="4"/>
      <c r="AG9" s="4">
        <v>130</v>
      </c>
      <c r="AH9" s="4"/>
      <c r="AI9" s="4"/>
      <c r="AJ9" s="4"/>
    </row>
    <row r="10" spans="1:45" ht="23.25" customHeight="1" x14ac:dyDescent="0.3">
      <c r="A10" s="127"/>
      <c r="B10" s="4">
        <v>4</v>
      </c>
      <c r="C10" s="4">
        <v>295</v>
      </c>
      <c r="D10" s="4">
        <v>295</v>
      </c>
      <c r="E10" s="4">
        <v>1097</v>
      </c>
      <c r="F10" s="4">
        <v>1092</v>
      </c>
      <c r="G10" s="4">
        <v>220</v>
      </c>
      <c r="H10" s="4">
        <v>220</v>
      </c>
      <c r="I10" s="4">
        <v>240</v>
      </c>
      <c r="J10" s="4">
        <v>240</v>
      </c>
      <c r="K10" s="13">
        <v>20</v>
      </c>
      <c r="L10" s="13">
        <v>20</v>
      </c>
      <c r="M10" s="4"/>
      <c r="N10" s="4"/>
      <c r="O10" s="4"/>
      <c r="P10" s="4"/>
      <c r="Q10" s="4">
        <v>2095</v>
      </c>
      <c r="R10" s="4">
        <v>2095</v>
      </c>
      <c r="S10" s="4">
        <v>2095</v>
      </c>
      <c r="T10" s="4">
        <v>2095</v>
      </c>
      <c r="U10" s="4">
        <v>20</v>
      </c>
      <c r="V10" s="4">
        <v>0</v>
      </c>
      <c r="W10" s="4">
        <v>22</v>
      </c>
      <c r="X10" s="4">
        <v>32</v>
      </c>
      <c r="Y10" s="4">
        <v>75</v>
      </c>
      <c r="Z10" s="4">
        <v>75</v>
      </c>
      <c r="AA10" s="4">
        <v>75</v>
      </c>
      <c r="AB10" s="4">
        <v>75</v>
      </c>
      <c r="AC10" s="4"/>
      <c r="AD10" s="4"/>
      <c r="AE10" s="4"/>
      <c r="AF10" s="4"/>
      <c r="AG10" s="4">
        <v>130</v>
      </c>
      <c r="AH10" s="4"/>
      <c r="AI10" s="4"/>
      <c r="AJ10" s="4"/>
    </row>
    <row r="11" spans="1:45" ht="23.25" customHeight="1" x14ac:dyDescent="0.3">
      <c r="A11" s="127"/>
      <c r="B11" s="4">
        <v>5</v>
      </c>
      <c r="C11" s="4">
        <v>295</v>
      </c>
      <c r="D11" s="4">
        <v>295</v>
      </c>
      <c r="E11" s="4">
        <v>1097</v>
      </c>
      <c r="F11" s="4">
        <v>1092</v>
      </c>
      <c r="G11" s="4">
        <v>220</v>
      </c>
      <c r="H11" s="4">
        <v>220</v>
      </c>
      <c r="I11" s="4">
        <v>240</v>
      </c>
      <c r="J11" s="4">
        <v>240</v>
      </c>
      <c r="K11" s="13">
        <v>20</v>
      </c>
      <c r="L11" s="13">
        <v>20</v>
      </c>
      <c r="M11" s="4"/>
      <c r="N11" s="4"/>
      <c r="O11" s="4"/>
      <c r="P11" s="4"/>
      <c r="Q11" s="4">
        <v>2095</v>
      </c>
      <c r="R11" s="4">
        <v>2095</v>
      </c>
      <c r="S11" s="4">
        <v>2095</v>
      </c>
      <c r="T11" s="4">
        <v>2095</v>
      </c>
      <c r="U11" s="4">
        <v>20</v>
      </c>
      <c r="V11" s="4">
        <v>0</v>
      </c>
      <c r="W11" s="4">
        <v>22</v>
      </c>
      <c r="X11" s="4">
        <v>32</v>
      </c>
      <c r="Y11" s="4">
        <v>75</v>
      </c>
      <c r="Z11" s="4">
        <v>75</v>
      </c>
      <c r="AA11" s="4">
        <v>75</v>
      </c>
      <c r="AB11" s="4">
        <v>75</v>
      </c>
      <c r="AC11" s="4"/>
      <c r="AD11" s="4"/>
      <c r="AE11" s="4"/>
      <c r="AF11" s="4"/>
      <c r="AG11" s="4">
        <v>130</v>
      </c>
      <c r="AH11" s="4"/>
      <c r="AI11" s="4"/>
      <c r="AJ11" s="4"/>
    </row>
    <row r="12" spans="1:45" ht="23.25" customHeight="1" x14ac:dyDescent="0.3">
      <c r="A12" s="127"/>
      <c r="B12" s="4">
        <v>6</v>
      </c>
      <c r="C12" s="4">
        <v>295</v>
      </c>
      <c r="D12" s="4">
        <v>295</v>
      </c>
      <c r="E12" s="4">
        <v>1097</v>
      </c>
      <c r="F12" s="4">
        <v>1092</v>
      </c>
      <c r="G12" s="4">
        <v>220</v>
      </c>
      <c r="H12" s="4">
        <v>220</v>
      </c>
      <c r="I12" s="4">
        <v>240</v>
      </c>
      <c r="J12" s="4">
        <v>240</v>
      </c>
      <c r="K12" s="13">
        <v>15</v>
      </c>
      <c r="L12" s="13">
        <v>15</v>
      </c>
      <c r="M12" s="4"/>
      <c r="N12" s="4"/>
      <c r="O12" s="4"/>
      <c r="P12" s="4"/>
      <c r="Q12" s="4">
        <v>2095</v>
      </c>
      <c r="R12" s="4">
        <v>2095</v>
      </c>
      <c r="S12" s="4">
        <v>2095</v>
      </c>
      <c r="T12" s="4">
        <v>2095</v>
      </c>
      <c r="U12" s="4">
        <v>25</v>
      </c>
      <c r="V12" s="4">
        <v>0</v>
      </c>
      <c r="W12" s="4">
        <v>22</v>
      </c>
      <c r="X12" s="4">
        <v>32</v>
      </c>
      <c r="Y12" s="4">
        <v>75</v>
      </c>
      <c r="Z12" s="4">
        <v>75</v>
      </c>
      <c r="AA12" s="4">
        <v>75</v>
      </c>
      <c r="AB12" s="4">
        <v>75</v>
      </c>
      <c r="AC12" s="4"/>
      <c r="AD12" s="4"/>
      <c r="AE12" s="4"/>
      <c r="AF12" s="4"/>
      <c r="AG12" s="4">
        <v>130</v>
      </c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2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(판매)남양주초 ) _유영소장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(판매)남양주초,   (재질) : VIB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0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0</v>
      </c>
      <c r="AA3" s="227"/>
      <c r="AC3" s="208" t="s">
        <v>305</v>
      </c>
      <c r="AD3" s="208"/>
      <c r="AE3" s="208">
        <f>'와이드(실측)'!Y7</f>
        <v>75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319</v>
      </c>
      <c r="AP3" s="192"/>
      <c r="AQ3" s="195">
        <f>AU7</f>
        <v>-0.48554583000813362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(0), JB/JD +(0 ),  늘어난치수K -(0),  C + (0),   U + (0), OP - (0), R - (0),  기둥차감 - (0),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45514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295</v>
      </c>
      <c r="D7" s="31">
        <f>'와이드(실측)'!D7+와이드MH더함-IF(AND(소장="추영덕",Y7=0),1.2)</f>
        <v>295</v>
      </c>
      <c r="E7" s="135">
        <f>'와이드(실측)'!E7-와이드OP</f>
        <v>1097</v>
      </c>
      <c r="F7" s="31">
        <f>'와이드(실측)'!F7-와이드R</f>
        <v>1092</v>
      </c>
      <c r="G7" s="50">
        <f>'와이드(실측)'!G7+와이드JBJD키움치수+IF(BI7=1,AC7,0)</f>
        <v>295</v>
      </c>
      <c r="H7" s="50">
        <f>'와이드(실측)'!H7+와이드JBJD키움치수+IF(BI7=1,AE7,0)</f>
        <v>295</v>
      </c>
      <c r="I7" s="50">
        <f>'와이드(실측)'!I7+MAX(AS7,AT7)+와이드JBJD키움치수+IF(BI7=1,AC7,0)</f>
        <v>315</v>
      </c>
      <c r="J7" s="50">
        <f>'와이드(실측)'!I7+MAX(AS7,AT7)+와이드JBJD키움치수+IF(BI7=1,AD7,0)-IF(와이드JB하부늘치=1,'와이드(실측)'!Y7-'와이드(실측)'!Z7,0)</f>
        <v>315</v>
      </c>
      <c r="K7" s="50">
        <f>'와이드(실측)'!J7+MAX(AS7,AT7)+와이드JBJD키움치수+IF(BI7=1,AE7,0)</f>
        <v>315</v>
      </c>
      <c r="L7" s="50">
        <f>'와이드(실측)'!J7+MAX(AS7,AT7)+와이드JBJD키움치수+IF(BI7=1,AF7,0)-IF(와이드JB하부늘치=1,'와이드(실측)'!AA7-'와이드(실측)'!AB7,0)</f>
        <v>315</v>
      </c>
      <c r="M7" s="31">
        <f t="shared" ref="M7:N7" si="0">IF(소장="손상민",0,O7-1.5)</f>
        <v>13.7</v>
      </c>
      <c r="N7" s="31">
        <f t="shared" si="0"/>
        <v>17.7</v>
      </c>
      <c r="O7" s="31">
        <f>IF(S7&lt;9,'와이드(실측)'!K7+1.2,IF(ISNUMBER('와이드(실측)'!K7),'와이드(실측)'!K7+와이드C값,0))</f>
        <v>15.2</v>
      </c>
      <c r="P7" s="31">
        <f>IF(T7&lt;9,'와이드(실측)'!L7+1.2,IF(ISNUMBER('와이드(실측)'!L7),'와이드(실측)'!L7+와이드C값,0))</f>
        <v>19.2</v>
      </c>
      <c r="Q7" s="32">
        <f>ROUNDUP(AV7,1)</f>
        <v>20</v>
      </c>
      <c r="R7" s="38">
        <f>ROUNDUP(AW7,1)</f>
        <v>20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2090</v>
      </c>
      <c r="V7" s="31">
        <f>'와이드(실측)'!R7-와이드기둥차감</f>
        <v>2090</v>
      </c>
      <c r="W7" s="31">
        <f>'와이드(실측)'!S7-와이드기둥차감</f>
        <v>2090</v>
      </c>
      <c r="X7" s="31">
        <f>'와이드(실측)'!T7-와이드기둥차감</f>
        <v>2090</v>
      </c>
      <c r="Y7" s="31">
        <f>IF(소장="손상민",IF(ISNUMBER('와이드(실측)'!U7),'와이드(실측)'!U7+1.2,0),IF(ISNUMBER('와이드(실측)'!U7),'와이드(실측)'!U7+와이드U,0))</f>
        <v>30</v>
      </c>
      <c r="Z7" s="31">
        <f>IF(소장="손상민",MAX(Q7,R7)+3.2,IF(ISNUMBER('와이드(실측)'!V7),'와이드(실측)'!V7+1.5+와이드제작!Q7+1,0))</f>
        <v>22.5</v>
      </c>
      <c r="AA7" s="31">
        <f>'와이드(실측)'!W7+뒷날개치수더함</f>
        <v>22</v>
      </c>
      <c r="AB7" s="31">
        <f>'와이드(실측)'!X7+뒷날개치수더함</f>
        <v>32</v>
      </c>
      <c r="AC7" s="31">
        <f>'와이드(실측)'!Y7-와이드늘치</f>
        <v>75</v>
      </c>
      <c r="AD7" s="31">
        <f>IF(와이드JB하부늘치=1,AC7,'와이드(실측)'!Z7-와이드늘치)</f>
        <v>75</v>
      </c>
      <c r="AE7" s="31">
        <f>'와이드(실측)'!AA7-와이드늘치</f>
        <v>75</v>
      </c>
      <c r="AF7" s="31">
        <f>IF(와이드JB하부늘치=1,AE7,'와이드(실측)'!AB7-와이드늘치)</f>
        <v>75</v>
      </c>
      <c r="AG7" s="31">
        <f xml:space="preserve"> IF(소장&lt;&gt;"손상민",IF('와이드(실측)'!AC7&gt;0,'와이드(실측)'!AC7,C7-1.2),IF('와이드(실측)'!AC7&gt;0,'와이드(실측)'!AC7+1.2,C7) )</f>
        <v>293.8</v>
      </c>
      <c r="AH7" s="31">
        <f xml:space="preserve"> IF(소장&lt;&gt;"손상민",IF('와이드(실측)'!AD7&gt;0,'와이드(실측)'!AD7,D7-1.2),IF('와이드(실측)'!AD7&gt;0,'와이드(실측)'!AD7+1.2,D7))</f>
        <v>293.8</v>
      </c>
      <c r="AI7" s="51">
        <f>IF(Z7&gt;0,Z7-MAX(Q7,R7),0)</f>
        <v>2.5</v>
      </c>
      <c r="AJ7" s="31" t="str">
        <f t="shared" ref="AJ7" si="1">BA7&amp;"*"&amp;BB7</f>
        <v>1123.4*659.7</v>
      </c>
      <c r="AK7" s="31" t="str">
        <f t="shared" ref="AK7" si="2">BD7&amp;"*"&amp;BC7</f>
        <v>2383.8*358.6</v>
      </c>
      <c r="AL7" s="31" t="str">
        <f t="shared" ref="AL7" si="3">BF7&amp;"*"&amp;BE7</f>
        <v>2383.8*362.6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130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-0.48554583000813362</v>
      </c>
      <c r="AV7" s="21">
        <f>ABS(G7-COS(RADIANS(AU7))*I7)</f>
        <v>19.988689204470404</v>
      </c>
      <c r="AW7" s="21">
        <f>ABS(H7-COS(RADIANS(AU7))*K7)</f>
        <v>19.988689204470404</v>
      </c>
      <c r="AX7" s="21">
        <f>'와이드(실측)'!M7+AS7</f>
        <v>0</v>
      </c>
      <c r="AY7" s="21">
        <f>'와이드(실측)'!N7+AS7</f>
        <v>0</v>
      </c>
      <c r="AZ7" s="20">
        <f>AV7-MAX(AX7,AY7)</f>
        <v>19.988689204470404</v>
      </c>
      <c r="BA7" s="41">
        <f t="shared" ref="BA7:BA12" si="4">IF(소장&lt;&gt;"손상민",F7+IF(Y7+Z7&gt;0,N7+M7,0),F7)</f>
        <v>1123.4000000000001</v>
      </c>
      <c r="BB7" s="42">
        <f>MAX(C7,D7)+MAX(G7,H7)+AA7-1.2*$AJ$3+IF(BI7=0,MAX(AE7,AC7),0)+IF(Y7=0,1.2,0)+IF(Z7=0,1.2,0)+IF(소장&lt;&gt;"손상민", Y7+Z7,IF('와이드(실측)'!U7=0,0,2.4))</f>
        <v>659.7</v>
      </c>
      <c r="BC7" s="41">
        <f>S7+O7+MAX(I7,J7)+AB7-1.2*$AL$3+IF(BI7=0,MAX(AD7,AC7),0)+IF(S7=0,1.2,0)-IF(AR7=90,2.4,0)</f>
        <v>358.59999999999997</v>
      </c>
      <c r="BD7" s="41">
        <f>MAX(U7,V7)+AG7</f>
        <v>2383.8000000000002</v>
      </c>
      <c r="BE7" s="41">
        <f>T7+P7+MAX(K7,L7)+AB7-1.2*$AL$3+IF(BI7=0,MAX(AE7,AF7),0)+IF(T7=0,1.2,0)-IF(AR7=90,2.4,0)</f>
        <v>362.59999999999997</v>
      </c>
      <c r="BF7" s="41">
        <f>MAX(W7,X7)+AH7</f>
        <v>2383.8000000000002</v>
      </c>
      <c r="BG7" s="6">
        <f t="shared" ref="BG7" si="5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2F</v>
      </c>
      <c r="C8" s="31">
        <f>'와이드(실측)'!C8+와이드MH더함-IF(AND(소장="추영덕",Y8=0),1.2)</f>
        <v>295</v>
      </c>
      <c r="D8" s="31">
        <f>'와이드(실측)'!D8+와이드MH더함-IF(AND(소장="추영덕",Y8=0),1.2)</f>
        <v>295</v>
      </c>
      <c r="E8" s="135">
        <f>'와이드(실측)'!E8-와이드OP</f>
        <v>1097</v>
      </c>
      <c r="F8" s="31">
        <f>'와이드(실측)'!F8-와이드R</f>
        <v>1092</v>
      </c>
      <c r="G8" s="50">
        <f>'와이드(실측)'!G8+와이드JBJD키움치수+IF(BI8=1,AC8,0)</f>
        <v>295</v>
      </c>
      <c r="H8" s="50">
        <f>'와이드(실측)'!H8+와이드JBJD키움치수+IF(BI8=1,AE8,0)</f>
        <v>295</v>
      </c>
      <c r="I8" s="50">
        <f>'와이드(실측)'!I8+MAX(AS8,AT8)+와이드JBJD키움치수+IF(BI8=1,AC8,0)</f>
        <v>315</v>
      </c>
      <c r="J8" s="50">
        <f>'와이드(실측)'!I8+MAX(AS8,AT8)+와이드JBJD키움치수+IF(BI8=1,AD8,0)-IF(와이드JB하부늘치=1,'와이드(실측)'!Y8-'와이드(실측)'!Z8,0)</f>
        <v>315</v>
      </c>
      <c r="K8" s="50">
        <f>'와이드(실측)'!J8+MAX(AS8,AT8)+와이드JBJD키움치수+IF(BI8=1,AE8,0)</f>
        <v>315</v>
      </c>
      <c r="L8" s="50">
        <f>'와이드(실측)'!J8+MAX(AS8,AT8)+와이드JBJD키움치수+IF(BI8=1,AF8,0)-IF(와이드JB하부늘치=1,'와이드(실측)'!AA8-'와이드(실측)'!AB8,0)</f>
        <v>315</v>
      </c>
      <c r="M8" s="31">
        <f t="shared" ref="M8:M12" si="6">IF(소장="손상민",0,O8-1.5)</f>
        <v>17.7</v>
      </c>
      <c r="N8" s="31">
        <f t="shared" ref="N8:N12" si="7">IF(소장="손상민",0,P8-1.5)</f>
        <v>14.7</v>
      </c>
      <c r="O8" s="31">
        <f>IF(S8&lt;9,'와이드(실측)'!K8+1.2,IF(ISNUMBER('와이드(실측)'!K8),'와이드(실측)'!K8+와이드C값,0))</f>
        <v>19.2</v>
      </c>
      <c r="P8" s="31">
        <f>IF(T8&lt;9,'와이드(실측)'!L8+1.2,IF(ISNUMBER('와이드(실측)'!L8),'와이드(실측)'!L8+와이드C값,0))</f>
        <v>16.2</v>
      </c>
      <c r="Q8" s="32">
        <f t="shared" ref="Q8:Q12" si="8">ROUNDUP(AV8,1)</f>
        <v>20</v>
      </c>
      <c r="R8" s="38">
        <f t="shared" ref="R8:R12" si="9">ROUNDUP(AW8,1)</f>
        <v>20</v>
      </c>
      <c r="S8" s="31">
        <f>IF(ISNUMBER('와이드(실측)'!O8),'와이드(실측)'!O8+와이드제작!AS8+와이드A늘림,0)</f>
        <v>0</v>
      </c>
      <c r="T8" s="31">
        <f>IF(ISNUMBER('와이드(실측)'!P8),'와이드(실측)'!P8+와이드제작!AT8+와이드A늘림,0)</f>
        <v>0</v>
      </c>
      <c r="U8" s="31">
        <f>'와이드(실측)'!Q8-와이드기둥차감</f>
        <v>2090</v>
      </c>
      <c r="V8" s="31">
        <f>'와이드(실측)'!R8-와이드기둥차감</f>
        <v>2090</v>
      </c>
      <c r="W8" s="31">
        <f>'와이드(실측)'!S8-와이드기둥차감</f>
        <v>2090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25</v>
      </c>
      <c r="Z8" s="31">
        <f>IF(소장="손상민",MAX(Q8,R8)+3.2,IF(ISNUMBER('와이드(실측)'!V8),'와이드(실측)'!V8+1.5+와이드제작!Q8+1,0))</f>
        <v>22.5</v>
      </c>
      <c r="AA8" s="31">
        <f>'와이드(실측)'!W8+뒷날개치수더함</f>
        <v>22</v>
      </c>
      <c r="AB8" s="31">
        <f>'와이드(실측)'!X8+뒷날개치수더함</f>
        <v>32</v>
      </c>
      <c r="AC8" s="31">
        <f>'와이드(실측)'!Y8-와이드늘치</f>
        <v>75</v>
      </c>
      <c r="AD8" s="31">
        <f>IF(와이드JB하부늘치=1,AC8,'와이드(실측)'!Z8-와이드늘치)</f>
        <v>75</v>
      </c>
      <c r="AE8" s="31">
        <f>'와이드(실측)'!AA8-와이드늘치</f>
        <v>75</v>
      </c>
      <c r="AF8" s="31">
        <f>IF(와이드JB하부늘치=1,AE8,'와이드(실측)'!AB8-와이드늘치)</f>
        <v>75</v>
      </c>
      <c r="AG8" s="31">
        <f xml:space="preserve"> IF(소장&lt;&gt;"손상민",IF('와이드(실측)'!AC8&gt;0,'와이드(실측)'!AC8,C8-1.2),IF('와이드(실측)'!AC8&gt;0,'와이드(실측)'!AC8+1.2,C8) )</f>
        <v>293.8</v>
      </c>
      <c r="AH8" s="31">
        <f xml:space="preserve"> IF(소장&lt;&gt;"손상민",IF('와이드(실측)'!AD8&gt;0,'와이드(실측)'!AD8,D8-1.2),IF('와이드(실측)'!AD8&gt;0,'와이드(실측)'!AD8+1.2,D8))</f>
        <v>293.8</v>
      </c>
      <c r="AI8" s="51">
        <f t="shared" ref="AI8:AI12" si="10">IF(Z8&gt;0,Z8-MAX(Q8,R8),0)</f>
        <v>2.5</v>
      </c>
      <c r="AJ8" s="31" t="str">
        <f t="shared" ref="AJ8:AJ12" si="11">BA8&amp;"*"&amp;BB8</f>
        <v>1124.4*654.7</v>
      </c>
      <c r="AK8" s="31" t="str">
        <f t="shared" ref="AK8:AK12" si="12">BD8&amp;"*"&amp;BC8</f>
        <v>2383.8*362.6</v>
      </c>
      <c r="AL8" s="31" t="str">
        <f t="shared" ref="AL8:AL12" si="13">BF8&amp;"*"&amp;BE8</f>
        <v>2383.8*359.6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130</v>
      </c>
      <c r="AP8" s="31">
        <f>IF('와이드(실측)'!AH8&gt;5,'와이드(실측)'!AH8+뒷날개치수더함,'와이드(실측)'!AH8)</f>
        <v>0</v>
      </c>
      <c r="AQ8" s="31">
        <f>'와이드(실측)'!AI8</f>
        <v>0</v>
      </c>
      <c r="AR8" s="31">
        <f>'와이드(실측)'!AJ8</f>
        <v>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2" si="14">DEGREES(ATAN((F8-E8)/2/(H8)))</f>
        <v>-0.48554583000813362</v>
      </c>
      <c r="AV8" s="21">
        <f t="shared" ref="AV8:AV12" si="15">ABS(G8-COS(RADIANS(AU8))*I8)</f>
        <v>19.988689204470404</v>
      </c>
      <c r="AW8" s="21">
        <f t="shared" ref="AW8:AW12" si="16">ABS(H8-COS(RADIANS(AU8))*K8)</f>
        <v>19.988689204470404</v>
      </c>
      <c r="AX8" s="21">
        <f>'와이드(실측)'!M8+AS8</f>
        <v>0</v>
      </c>
      <c r="AY8" s="21">
        <f>'와이드(실측)'!N8+AS8</f>
        <v>0</v>
      </c>
      <c r="AZ8" s="20">
        <f t="shared" ref="AZ8:AZ12" si="17">AV8-MAX(AX8,AY8)</f>
        <v>19.988689204470404</v>
      </c>
      <c r="BA8" s="41">
        <f t="shared" si="4"/>
        <v>1124.4000000000001</v>
      </c>
      <c r="BB8" s="42">
        <f>MAX(C8,D8)+MAX(G8,H8)+AA8-1.2*$AJ$3+IF(BI8=0,MAX(AE8,AC8),0)+IF(Y8=0,1.2,0)+IF(Z8=0,1.2,0)+IF(소장&lt;&gt;"손상민", Y8+Z8,IF('와이드(실측)'!U8=0,0,2.4))</f>
        <v>654.70000000000005</v>
      </c>
      <c r="BC8" s="41">
        <f t="shared" ref="BC8:BC12" si="18">S8+O8+MAX(I8,J8)+AB8-1.2*$AL$3+IF(BI8=0,MAX(AD8,AC8),0)+IF(S8=0,1.2,0)-IF(AR8=90,2.4,0)</f>
        <v>362.59999999999997</v>
      </c>
      <c r="BD8" s="41">
        <f t="shared" ref="BD8:BD12" si="19">MAX(U8,V8)+AG8</f>
        <v>2383.8000000000002</v>
      </c>
      <c r="BE8" s="41">
        <f t="shared" ref="BE8:BE12" si="20">T8+P8+MAX(K8,L8)+AB8-1.2*$AL$3+IF(BI8=0,MAX(AE8,AF8),0)+IF(T8=0,1.2,0)-IF(AR8=90,2.4,0)</f>
        <v>359.59999999999997</v>
      </c>
      <c r="BF8" s="41">
        <f t="shared" ref="BF8:BF12" si="21">MAX(W8,X8)+AH8</f>
        <v>2383.8000000000002</v>
      </c>
      <c r="BG8" s="6">
        <f t="shared" ref="BG8:BG12" si="22">I8-G8-Q8</f>
        <v>0</v>
      </c>
      <c r="BH8" s="43" t="str">
        <f t="shared" ref="BH8:BH12" si="23">IF(AND(C8&lt;&gt;D8,Y8&gt;0),"NG","")</f>
        <v/>
      </c>
      <c r="BI8" s="77">
        <f t="shared" ref="BI8:BI12" si="24">IF(AND(MIN(AC8,AE8)&gt;=9.2,ABS(F8-E8)&gt;15),0,1)</f>
        <v>1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3F</v>
      </c>
      <c r="C9" s="31">
        <f>'와이드(실측)'!C9+와이드MH더함-IF(AND(소장="추영덕",Y9=0),1.2)</f>
        <v>295</v>
      </c>
      <c r="D9" s="31">
        <f>'와이드(실측)'!D9+와이드MH더함-IF(AND(소장="추영덕",Y9=0),1.2)</f>
        <v>295</v>
      </c>
      <c r="E9" s="135">
        <f>'와이드(실측)'!E9-와이드OP</f>
        <v>1097</v>
      </c>
      <c r="F9" s="31">
        <f>'와이드(실측)'!F9-와이드R</f>
        <v>1092</v>
      </c>
      <c r="G9" s="50">
        <f>'와이드(실측)'!G9+와이드JBJD키움치수+IF(BI9=1,AC9,0)</f>
        <v>295</v>
      </c>
      <c r="H9" s="50">
        <f>'와이드(실측)'!H9+와이드JBJD키움치수+IF(BI9=1,AE9,0)</f>
        <v>295</v>
      </c>
      <c r="I9" s="50">
        <f>'와이드(실측)'!I9+MAX(AS9,AT9)+와이드JBJD키움치수+IF(BI9=1,AC9,0)</f>
        <v>315</v>
      </c>
      <c r="J9" s="50">
        <f>'와이드(실측)'!I9+MAX(AS9,AT9)+와이드JBJD키움치수+IF(BI9=1,AD9,0)-IF(와이드JB하부늘치=1,'와이드(실측)'!Y9-'와이드(실측)'!Z9,0)</f>
        <v>315</v>
      </c>
      <c r="K9" s="50">
        <f>'와이드(실측)'!J9+MAX(AS9,AT9)+와이드JBJD키움치수+IF(BI9=1,AE9,0)</f>
        <v>315</v>
      </c>
      <c r="L9" s="50">
        <f>'와이드(실측)'!J9+MAX(AS9,AT9)+와이드JBJD키움치수+IF(BI9=1,AF9,0)-IF(와이드JB하부늘치=1,'와이드(실측)'!AA9-'와이드(실측)'!AB9,0)</f>
        <v>315</v>
      </c>
      <c r="M9" s="31">
        <f t="shared" si="6"/>
        <v>14.7</v>
      </c>
      <c r="N9" s="31">
        <f t="shared" si="7"/>
        <v>14.7</v>
      </c>
      <c r="O9" s="31">
        <f>IF(S9&lt;9,'와이드(실측)'!K9+1.2,IF(ISNUMBER('와이드(실측)'!K9),'와이드(실측)'!K9+와이드C값,0))</f>
        <v>16.2</v>
      </c>
      <c r="P9" s="31">
        <f>IF(T9&lt;9,'와이드(실측)'!L9+1.2,IF(ISNUMBER('와이드(실측)'!L9),'와이드(실측)'!L9+와이드C값,0))</f>
        <v>16.2</v>
      </c>
      <c r="Q9" s="32">
        <f t="shared" si="8"/>
        <v>20</v>
      </c>
      <c r="R9" s="38">
        <f t="shared" si="9"/>
        <v>20</v>
      </c>
      <c r="S9" s="31">
        <f>IF(ISNUMBER('와이드(실측)'!O9),'와이드(실측)'!O9+와이드제작!AS9+와이드A늘림,0)</f>
        <v>0</v>
      </c>
      <c r="T9" s="31">
        <f>IF(ISNUMBER('와이드(실측)'!P9),'와이드(실측)'!P9+와이드제작!AT9+와이드A늘림,0)</f>
        <v>0</v>
      </c>
      <c r="U9" s="31">
        <f>'와이드(실측)'!Q9-와이드기둥차감</f>
        <v>2090</v>
      </c>
      <c r="V9" s="31">
        <f>'와이드(실측)'!R9-와이드기둥차감</f>
        <v>2090</v>
      </c>
      <c r="W9" s="31">
        <f>'와이드(실측)'!S9-와이드기둥차감</f>
        <v>2090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25</v>
      </c>
      <c r="Z9" s="31">
        <f>IF(소장="손상민",MAX(Q9,R9)+3.2,IF(ISNUMBER('와이드(실측)'!V9),'와이드(실측)'!V9+1.5+와이드제작!Q9+1,0))</f>
        <v>22.5</v>
      </c>
      <c r="AA9" s="31">
        <f>'와이드(실측)'!W9+뒷날개치수더함</f>
        <v>22</v>
      </c>
      <c r="AB9" s="31">
        <f>'와이드(실측)'!X9+뒷날개치수더함</f>
        <v>32</v>
      </c>
      <c r="AC9" s="31">
        <f>'와이드(실측)'!Y9-와이드늘치</f>
        <v>75</v>
      </c>
      <c r="AD9" s="31">
        <f>IF(와이드JB하부늘치=1,AC9,'와이드(실측)'!Z9-와이드늘치)</f>
        <v>75</v>
      </c>
      <c r="AE9" s="31">
        <f>'와이드(실측)'!AA9-와이드늘치</f>
        <v>75</v>
      </c>
      <c r="AF9" s="31">
        <f>IF(와이드JB하부늘치=1,AE9,'와이드(실측)'!AB9-와이드늘치)</f>
        <v>75</v>
      </c>
      <c r="AG9" s="31">
        <f xml:space="preserve"> IF(소장&lt;&gt;"손상민",IF('와이드(실측)'!AC9&gt;0,'와이드(실측)'!AC9,C9-1.2),IF('와이드(실측)'!AC9&gt;0,'와이드(실측)'!AC9+1.2,C9) )</f>
        <v>293.8</v>
      </c>
      <c r="AH9" s="31">
        <f xml:space="preserve"> IF(소장&lt;&gt;"손상민",IF('와이드(실측)'!AD9&gt;0,'와이드(실측)'!AD9,D9-1.2),IF('와이드(실측)'!AD9&gt;0,'와이드(실측)'!AD9+1.2,D9))</f>
        <v>293.8</v>
      </c>
      <c r="AI9" s="51">
        <f t="shared" si="10"/>
        <v>2.5</v>
      </c>
      <c r="AJ9" s="31" t="str">
        <f t="shared" si="11"/>
        <v>1121.4*654.7</v>
      </c>
      <c r="AK9" s="31" t="str">
        <f t="shared" si="12"/>
        <v>2383.8*359.6</v>
      </c>
      <c r="AL9" s="31" t="str">
        <f t="shared" si="13"/>
        <v>2383.8*359.6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130</v>
      </c>
      <c r="AP9" s="31">
        <f>IF('와이드(실측)'!AH9&gt;5,'와이드(실측)'!AH9+뒷날개치수더함,'와이드(실측)'!AH9)</f>
        <v>0</v>
      </c>
      <c r="AQ9" s="31">
        <f>'와이드(실측)'!AI9</f>
        <v>0</v>
      </c>
      <c r="AR9" s="31">
        <f>'와이드(실측)'!AJ9</f>
        <v>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-0.48554583000813362</v>
      </c>
      <c r="AV9" s="21">
        <f t="shared" si="15"/>
        <v>19.988689204470404</v>
      </c>
      <c r="AW9" s="21">
        <f t="shared" si="16"/>
        <v>19.988689204470404</v>
      </c>
      <c r="AX9" s="21">
        <f>'와이드(실측)'!M9+AS9</f>
        <v>0</v>
      </c>
      <c r="AY9" s="21">
        <f>'와이드(실측)'!N9+AS9</f>
        <v>0</v>
      </c>
      <c r="AZ9" s="20">
        <f t="shared" si="17"/>
        <v>19.988689204470404</v>
      </c>
      <c r="BA9" s="41">
        <f t="shared" si="4"/>
        <v>1121.4000000000001</v>
      </c>
      <c r="BB9" s="42">
        <f>MAX(C9,D9)+MAX(G9,H9)+AA9-1.2*$AJ$3+IF(BI9=0,MAX(AE9,AC9),0)+IF(Y9=0,1.2,0)+IF(Z9=0,1.2,0)+IF(소장&lt;&gt;"손상민", Y9+Z9,IF('와이드(실측)'!U9=0,0,2.4))</f>
        <v>654.70000000000005</v>
      </c>
      <c r="BC9" s="41">
        <f t="shared" si="18"/>
        <v>359.59999999999997</v>
      </c>
      <c r="BD9" s="41">
        <f t="shared" si="19"/>
        <v>2383.8000000000002</v>
      </c>
      <c r="BE9" s="41">
        <f t="shared" si="20"/>
        <v>359.59999999999997</v>
      </c>
      <c r="BF9" s="41">
        <f t="shared" si="21"/>
        <v>2383.8000000000002</v>
      </c>
      <c r="BG9" s="6">
        <f t="shared" si="22"/>
        <v>0</v>
      </c>
      <c r="BH9" s="43" t="str">
        <f t="shared" si="23"/>
        <v/>
      </c>
      <c r="BI9" s="77">
        <f t="shared" si="24"/>
        <v>1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4F</v>
      </c>
      <c r="C10" s="31">
        <f>'와이드(실측)'!C10+와이드MH더함-IF(AND(소장="추영덕",Y10=0),1.2)</f>
        <v>295</v>
      </c>
      <c r="D10" s="31">
        <f>'와이드(실측)'!D10+와이드MH더함-IF(AND(소장="추영덕",Y10=0),1.2)</f>
        <v>295</v>
      </c>
      <c r="E10" s="135">
        <f>'와이드(실측)'!E10-와이드OP</f>
        <v>1097</v>
      </c>
      <c r="F10" s="31">
        <f>'와이드(실측)'!F10-와이드R</f>
        <v>1092</v>
      </c>
      <c r="G10" s="50">
        <f>'와이드(실측)'!G10+와이드JBJD키움치수+IF(BI10=1,AC10,0)</f>
        <v>295</v>
      </c>
      <c r="H10" s="50">
        <f>'와이드(실측)'!H10+와이드JBJD키움치수+IF(BI10=1,AE10,0)</f>
        <v>295</v>
      </c>
      <c r="I10" s="50">
        <f>'와이드(실측)'!I10+MAX(AS10,AT10)+와이드JBJD키움치수+IF(BI10=1,AC10,0)</f>
        <v>315</v>
      </c>
      <c r="J10" s="50">
        <f>'와이드(실측)'!I10+MAX(AS10,AT10)+와이드JBJD키움치수+IF(BI10=1,AD10,0)-IF(와이드JB하부늘치=1,'와이드(실측)'!Y10-'와이드(실측)'!Z10,0)</f>
        <v>315</v>
      </c>
      <c r="K10" s="50">
        <f>'와이드(실측)'!J10+MAX(AS10,AT10)+와이드JBJD키움치수+IF(BI10=1,AE10,0)</f>
        <v>315</v>
      </c>
      <c r="L10" s="50">
        <f>'와이드(실측)'!J10+MAX(AS10,AT10)+와이드JBJD키움치수+IF(BI10=1,AF10,0)-IF(와이드JB하부늘치=1,'와이드(실측)'!AA10-'와이드(실측)'!AB10,0)</f>
        <v>315</v>
      </c>
      <c r="M10" s="31">
        <f t="shared" si="6"/>
        <v>19.7</v>
      </c>
      <c r="N10" s="31">
        <f t="shared" si="7"/>
        <v>19.7</v>
      </c>
      <c r="O10" s="31">
        <f>IF(S10&lt;9,'와이드(실측)'!K10+1.2,IF(ISNUMBER('와이드(실측)'!K10),'와이드(실측)'!K10+와이드C값,0))</f>
        <v>21.2</v>
      </c>
      <c r="P10" s="31">
        <f>IF(T10&lt;9,'와이드(실측)'!L10+1.2,IF(ISNUMBER('와이드(실측)'!L10),'와이드(실측)'!L10+와이드C값,0))</f>
        <v>21.2</v>
      </c>
      <c r="Q10" s="32">
        <f t="shared" si="8"/>
        <v>20</v>
      </c>
      <c r="R10" s="38">
        <f t="shared" si="9"/>
        <v>20</v>
      </c>
      <c r="S10" s="31">
        <f>IF(ISNUMBER('와이드(실측)'!O10),'와이드(실측)'!O10+와이드제작!AS10+와이드A늘림,0)</f>
        <v>0</v>
      </c>
      <c r="T10" s="31">
        <f>IF(ISNUMBER('와이드(실측)'!P10),'와이드(실측)'!P10+와이드제작!AT10+와이드A늘림,0)</f>
        <v>0</v>
      </c>
      <c r="U10" s="31">
        <f>'와이드(실측)'!Q10-와이드기둥차감</f>
        <v>2095</v>
      </c>
      <c r="V10" s="31">
        <f>'와이드(실측)'!R10-와이드기둥차감</f>
        <v>2095</v>
      </c>
      <c r="W10" s="31">
        <f>'와이드(실측)'!S10-와이드기둥차감</f>
        <v>2095</v>
      </c>
      <c r="X10" s="31">
        <f>'와이드(실측)'!T10-와이드기둥차감</f>
        <v>2095</v>
      </c>
      <c r="Y10" s="31">
        <f>IF(소장="손상민",IF(ISNUMBER('와이드(실측)'!U10),'와이드(실측)'!U10+1.2,0),IF(ISNUMBER('와이드(실측)'!U10),'와이드(실측)'!U10+와이드U,0))</f>
        <v>20</v>
      </c>
      <c r="Z10" s="31">
        <f>IF(소장="손상민",MAX(Q10,R10)+3.2,IF(ISNUMBER('와이드(실측)'!V10),'와이드(실측)'!V10+1.5+와이드제작!Q10+1,0))</f>
        <v>22.5</v>
      </c>
      <c r="AA10" s="31">
        <f>'와이드(실측)'!W10+뒷날개치수더함</f>
        <v>22</v>
      </c>
      <c r="AB10" s="31">
        <f>'와이드(실측)'!X10+뒷날개치수더함</f>
        <v>32</v>
      </c>
      <c r="AC10" s="31">
        <f>'와이드(실측)'!Y10-와이드늘치</f>
        <v>75</v>
      </c>
      <c r="AD10" s="31">
        <f>IF(와이드JB하부늘치=1,AC10,'와이드(실측)'!Z10-와이드늘치)</f>
        <v>75</v>
      </c>
      <c r="AE10" s="31">
        <f>'와이드(실측)'!AA10-와이드늘치</f>
        <v>75</v>
      </c>
      <c r="AF10" s="31">
        <f>IF(와이드JB하부늘치=1,AE10,'와이드(실측)'!AB10-와이드늘치)</f>
        <v>75</v>
      </c>
      <c r="AG10" s="31">
        <f xml:space="preserve"> IF(소장&lt;&gt;"손상민",IF('와이드(실측)'!AC10&gt;0,'와이드(실측)'!AC10,C10-1.2),IF('와이드(실측)'!AC10&gt;0,'와이드(실측)'!AC10+1.2,C10) )</f>
        <v>293.8</v>
      </c>
      <c r="AH10" s="31">
        <f xml:space="preserve"> IF(소장&lt;&gt;"손상민",IF('와이드(실측)'!AD10&gt;0,'와이드(실측)'!AD10,D10-1.2),IF('와이드(실측)'!AD10&gt;0,'와이드(실측)'!AD10+1.2,D10))</f>
        <v>293.8</v>
      </c>
      <c r="AI10" s="51">
        <f t="shared" si="10"/>
        <v>2.5</v>
      </c>
      <c r="AJ10" s="31" t="str">
        <f t="shared" si="11"/>
        <v>1131.4*649.7</v>
      </c>
      <c r="AK10" s="31" t="str">
        <f t="shared" si="12"/>
        <v>2388.8*364.6</v>
      </c>
      <c r="AL10" s="31" t="str">
        <f t="shared" si="13"/>
        <v>2388.8*364.6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130</v>
      </c>
      <c r="AP10" s="31">
        <f>IF('와이드(실측)'!AH10&gt;5,'와이드(실측)'!AH10+뒷날개치수더함,'와이드(실측)'!AH10)</f>
        <v>0</v>
      </c>
      <c r="AQ10" s="31">
        <f>'와이드(실측)'!AI10</f>
        <v>0</v>
      </c>
      <c r="AR10" s="31">
        <f>'와이드(실측)'!AJ10</f>
        <v>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-0.48554583000813362</v>
      </c>
      <c r="AV10" s="21">
        <f t="shared" si="15"/>
        <v>19.988689204470404</v>
      </c>
      <c r="AW10" s="21">
        <f t="shared" si="16"/>
        <v>19.988689204470404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19.988689204470404</v>
      </c>
      <c r="BA10" s="41">
        <f t="shared" si="4"/>
        <v>1131.4000000000001</v>
      </c>
      <c r="BB10" s="42">
        <f>MAX(C10,D10)+MAX(G10,H10)+AA10-1.2*$AJ$3+IF(BI10=0,MAX(AE10,AC10),0)+IF(Y10=0,1.2,0)+IF(Z10=0,1.2,0)+IF(소장&lt;&gt;"손상민", Y10+Z10,IF('와이드(실측)'!U10=0,0,2.4))</f>
        <v>649.70000000000005</v>
      </c>
      <c r="BC10" s="41">
        <f t="shared" si="18"/>
        <v>364.59999999999997</v>
      </c>
      <c r="BD10" s="41">
        <f t="shared" si="19"/>
        <v>2388.8000000000002</v>
      </c>
      <c r="BE10" s="41">
        <f t="shared" si="20"/>
        <v>364.59999999999997</v>
      </c>
      <c r="BF10" s="41">
        <f t="shared" si="21"/>
        <v>2388.8000000000002</v>
      </c>
      <c r="BG10" s="6">
        <f t="shared" si="22"/>
        <v>0</v>
      </c>
      <c r="BH10" s="43" t="str">
        <f t="shared" si="23"/>
        <v/>
      </c>
      <c r="BI10" s="77">
        <f t="shared" si="24"/>
        <v>1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5F</v>
      </c>
      <c r="C11" s="31">
        <f>'와이드(실측)'!C11+와이드MH더함-IF(AND(소장="추영덕",Y11=0),1.2)</f>
        <v>295</v>
      </c>
      <c r="D11" s="31">
        <f>'와이드(실측)'!D11+와이드MH더함-IF(AND(소장="추영덕",Y11=0),1.2)</f>
        <v>295</v>
      </c>
      <c r="E11" s="135">
        <f>'와이드(실측)'!E11-와이드OP</f>
        <v>1097</v>
      </c>
      <c r="F11" s="31">
        <f>'와이드(실측)'!F11-와이드R</f>
        <v>1092</v>
      </c>
      <c r="G11" s="50">
        <f>'와이드(실측)'!G11+와이드JBJD키움치수+IF(BI11=1,AC11,0)</f>
        <v>295</v>
      </c>
      <c r="H11" s="50">
        <f>'와이드(실측)'!H11+와이드JBJD키움치수+IF(BI11=1,AE11,0)</f>
        <v>295</v>
      </c>
      <c r="I11" s="50">
        <f>'와이드(실측)'!I11+MAX(AS11,AT11)+와이드JBJD키움치수+IF(BI11=1,AC11,0)</f>
        <v>315</v>
      </c>
      <c r="J11" s="50">
        <f>'와이드(실측)'!I11+MAX(AS11,AT11)+와이드JBJD키움치수+IF(BI11=1,AD11,0)-IF(와이드JB하부늘치=1,'와이드(실측)'!Y11-'와이드(실측)'!Z11,0)</f>
        <v>315</v>
      </c>
      <c r="K11" s="50">
        <f>'와이드(실측)'!J11+MAX(AS11,AT11)+와이드JBJD키움치수+IF(BI11=1,AE11,0)</f>
        <v>315</v>
      </c>
      <c r="L11" s="50">
        <f>'와이드(실측)'!J11+MAX(AS11,AT11)+와이드JBJD키움치수+IF(BI11=1,AF11,0)-IF(와이드JB하부늘치=1,'와이드(실측)'!AA11-'와이드(실측)'!AB11,0)</f>
        <v>315</v>
      </c>
      <c r="M11" s="31">
        <f t="shared" si="6"/>
        <v>19.7</v>
      </c>
      <c r="N11" s="31">
        <f t="shared" si="7"/>
        <v>19.7</v>
      </c>
      <c r="O11" s="31">
        <f>IF(S11&lt;9,'와이드(실측)'!K11+1.2,IF(ISNUMBER('와이드(실측)'!K11),'와이드(실측)'!K11+와이드C값,0))</f>
        <v>21.2</v>
      </c>
      <c r="P11" s="31">
        <f>IF(T11&lt;9,'와이드(실측)'!L11+1.2,IF(ISNUMBER('와이드(실측)'!L11),'와이드(실측)'!L11+와이드C값,0))</f>
        <v>21.2</v>
      </c>
      <c r="Q11" s="32">
        <f t="shared" si="8"/>
        <v>20</v>
      </c>
      <c r="R11" s="38">
        <f t="shared" si="9"/>
        <v>20</v>
      </c>
      <c r="S11" s="31">
        <f>IF(ISNUMBER('와이드(실측)'!O11),'와이드(실측)'!O11+와이드제작!AS11+와이드A늘림,0)</f>
        <v>0</v>
      </c>
      <c r="T11" s="31">
        <f>IF(ISNUMBER('와이드(실측)'!P11),'와이드(실측)'!P11+와이드제작!AT11+와이드A늘림,0)</f>
        <v>0</v>
      </c>
      <c r="U11" s="31">
        <f>'와이드(실측)'!Q11-와이드기둥차감</f>
        <v>2095</v>
      </c>
      <c r="V11" s="31">
        <f>'와이드(실측)'!R11-와이드기둥차감</f>
        <v>2095</v>
      </c>
      <c r="W11" s="31">
        <f>'와이드(실측)'!S11-와이드기둥차감</f>
        <v>2095</v>
      </c>
      <c r="X11" s="31">
        <f>'와이드(실측)'!T11-와이드기둥차감</f>
        <v>2095</v>
      </c>
      <c r="Y11" s="31">
        <f>IF(소장="손상민",IF(ISNUMBER('와이드(실측)'!U11),'와이드(실측)'!U11+1.2,0),IF(ISNUMBER('와이드(실측)'!U11),'와이드(실측)'!U11+와이드U,0))</f>
        <v>20</v>
      </c>
      <c r="Z11" s="31">
        <f>IF(소장="손상민",MAX(Q11,R11)+3.2,IF(ISNUMBER('와이드(실측)'!V11),'와이드(실측)'!V11+1.5+와이드제작!Q11+1,0))</f>
        <v>22.5</v>
      </c>
      <c r="AA11" s="31">
        <f>'와이드(실측)'!W11+뒷날개치수더함</f>
        <v>22</v>
      </c>
      <c r="AB11" s="31">
        <f>'와이드(실측)'!X11+뒷날개치수더함</f>
        <v>32</v>
      </c>
      <c r="AC11" s="31">
        <f>'와이드(실측)'!Y11-와이드늘치</f>
        <v>75</v>
      </c>
      <c r="AD11" s="31">
        <f>IF(와이드JB하부늘치=1,AC11,'와이드(실측)'!Z11-와이드늘치)</f>
        <v>75</v>
      </c>
      <c r="AE11" s="31">
        <f>'와이드(실측)'!AA11-와이드늘치</f>
        <v>75</v>
      </c>
      <c r="AF11" s="31">
        <f>IF(와이드JB하부늘치=1,AE11,'와이드(실측)'!AB11-와이드늘치)</f>
        <v>75</v>
      </c>
      <c r="AG11" s="31">
        <f xml:space="preserve"> IF(소장&lt;&gt;"손상민",IF('와이드(실측)'!AC11&gt;0,'와이드(실측)'!AC11,C11-1.2),IF('와이드(실측)'!AC11&gt;0,'와이드(실측)'!AC11+1.2,C11) )</f>
        <v>293.8</v>
      </c>
      <c r="AH11" s="31">
        <f xml:space="preserve"> IF(소장&lt;&gt;"손상민",IF('와이드(실측)'!AD11&gt;0,'와이드(실측)'!AD11,D11-1.2),IF('와이드(실측)'!AD11&gt;0,'와이드(실측)'!AD11+1.2,D11))</f>
        <v>293.8</v>
      </c>
      <c r="AI11" s="51">
        <f t="shared" si="10"/>
        <v>2.5</v>
      </c>
      <c r="AJ11" s="31" t="str">
        <f t="shared" si="11"/>
        <v>1131.4*649.7</v>
      </c>
      <c r="AK11" s="31" t="str">
        <f t="shared" si="12"/>
        <v>2388.8*364.6</v>
      </c>
      <c r="AL11" s="31" t="str">
        <f t="shared" si="13"/>
        <v>2388.8*364.6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130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-0.48554583000813362</v>
      </c>
      <c r="AV11" s="21">
        <f t="shared" si="15"/>
        <v>19.988689204470404</v>
      </c>
      <c r="AW11" s="21">
        <f t="shared" si="16"/>
        <v>19.988689204470404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19.988689204470404</v>
      </c>
      <c r="BA11" s="41">
        <f t="shared" si="4"/>
        <v>1131.4000000000001</v>
      </c>
      <c r="BB11" s="42">
        <f>MAX(C11,D11)+MAX(G11,H11)+AA11-1.2*$AJ$3+IF(BI11=0,MAX(AE11,AC11),0)+IF(Y11=0,1.2,0)+IF(Z11=0,1.2,0)+IF(소장&lt;&gt;"손상민", Y11+Z11,IF('와이드(실측)'!U11=0,0,2.4))</f>
        <v>649.70000000000005</v>
      </c>
      <c r="BC11" s="41">
        <f t="shared" si="18"/>
        <v>364.59999999999997</v>
      </c>
      <c r="BD11" s="41">
        <f t="shared" si="19"/>
        <v>2388.8000000000002</v>
      </c>
      <c r="BE11" s="41">
        <f t="shared" si="20"/>
        <v>364.59999999999997</v>
      </c>
      <c r="BF11" s="41">
        <f t="shared" si="21"/>
        <v>2388.8000000000002</v>
      </c>
      <c r="BG11" s="6">
        <f t="shared" si="22"/>
        <v>0</v>
      </c>
      <c r="BH11" s="43" t="str">
        <f t="shared" si="23"/>
        <v/>
      </c>
      <c r="BI11" s="77">
        <f t="shared" si="24"/>
        <v>1</v>
      </c>
    </row>
    <row r="12" spans="1:61" ht="26.25" customHeight="1" x14ac:dyDescent="0.3">
      <c r="A12" s="31">
        <f>'와이드(실측)'!A12</f>
        <v>0</v>
      </c>
      <c r="B12" s="31" t="str">
        <f>'와이드(실측)'!B12&amp;"F"</f>
        <v>6F</v>
      </c>
      <c r="C12" s="31">
        <f>'와이드(실측)'!C12+와이드MH더함-IF(AND(소장="추영덕",Y12=0),1.2)</f>
        <v>295</v>
      </c>
      <c r="D12" s="31">
        <f>'와이드(실측)'!D12+와이드MH더함-IF(AND(소장="추영덕",Y12=0),1.2)</f>
        <v>295</v>
      </c>
      <c r="E12" s="135">
        <f>'와이드(실측)'!E12-와이드OP</f>
        <v>1097</v>
      </c>
      <c r="F12" s="31">
        <f>'와이드(실측)'!F12-와이드R</f>
        <v>1092</v>
      </c>
      <c r="G12" s="50">
        <f>'와이드(실측)'!G12+와이드JBJD키움치수+IF(BI12=1,AC12,0)</f>
        <v>295</v>
      </c>
      <c r="H12" s="50">
        <f>'와이드(실측)'!H12+와이드JBJD키움치수+IF(BI12=1,AE12,0)</f>
        <v>295</v>
      </c>
      <c r="I12" s="50">
        <f>'와이드(실측)'!I12+MAX(AS12,AT12)+와이드JBJD키움치수+IF(BI12=1,AC12,0)</f>
        <v>315</v>
      </c>
      <c r="J12" s="50">
        <f>'와이드(실측)'!I12+MAX(AS12,AT12)+와이드JBJD키움치수+IF(BI12=1,AD12,0)-IF(와이드JB하부늘치=1,'와이드(실측)'!Y12-'와이드(실측)'!Z12,0)</f>
        <v>315</v>
      </c>
      <c r="K12" s="50">
        <f>'와이드(실측)'!J12+MAX(AS12,AT12)+와이드JBJD키움치수+IF(BI12=1,AE12,0)</f>
        <v>315</v>
      </c>
      <c r="L12" s="50">
        <f>'와이드(실측)'!J12+MAX(AS12,AT12)+와이드JBJD키움치수+IF(BI12=1,AF12,0)-IF(와이드JB하부늘치=1,'와이드(실측)'!AA12-'와이드(실측)'!AB12,0)</f>
        <v>315</v>
      </c>
      <c r="M12" s="31">
        <f t="shared" si="6"/>
        <v>14.7</v>
      </c>
      <c r="N12" s="31">
        <f t="shared" si="7"/>
        <v>14.7</v>
      </c>
      <c r="O12" s="31">
        <f>IF(S12&lt;9,'와이드(실측)'!K12+1.2,IF(ISNUMBER('와이드(실측)'!K12),'와이드(실측)'!K12+와이드C값,0))</f>
        <v>16.2</v>
      </c>
      <c r="P12" s="31">
        <f>IF(T12&lt;9,'와이드(실측)'!L12+1.2,IF(ISNUMBER('와이드(실측)'!L12),'와이드(실측)'!L12+와이드C값,0))</f>
        <v>16.2</v>
      </c>
      <c r="Q12" s="32">
        <f t="shared" si="8"/>
        <v>20</v>
      </c>
      <c r="R12" s="38">
        <f t="shared" si="9"/>
        <v>20</v>
      </c>
      <c r="S12" s="31">
        <f>IF(ISNUMBER('와이드(실측)'!O12),'와이드(실측)'!O12+와이드제작!AS12+와이드A늘림,0)</f>
        <v>0</v>
      </c>
      <c r="T12" s="31">
        <f>IF(ISNUMBER('와이드(실측)'!P12),'와이드(실측)'!P12+와이드제작!AT12+와이드A늘림,0)</f>
        <v>0</v>
      </c>
      <c r="U12" s="31">
        <f>'와이드(실측)'!Q12-와이드기둥차감</f>
        <v>2095</v>
      </c>
      <c r="V12" s="31">
        <f>'와이드(실측)'!R12-와이드기둥차감</f>
        <v>2095</v>
      </c>
      <c r="W12" s="31">
        <f>'와이드(실측)'!S12-와이드기둥차감</f>
        <v>2095</v>
      </c>
      <c r="X12" s="31">
        <f>'와이드(실측)'!T12-와이드기둥차감</f>
        <v>2095</v>
      </c>
      <c r="Y12" s="31">
        <f>IF(소장="손상민",IF(ISNUMBER('와이드(실측)'!U12),'와이드(실측)'!U12+1.2,0),IF(ISNUMBER('와이드(실측)'!U12),'와이드(실측)'!U12+와이드U,0))</f>
        <v>25</v>
      </c>
      <c r="Z12" s="31">
        <f>IF(소장="손상민",MAX(Q12,R12)+3.2,IF(ISNUMBER('와이드(실측)'!V12),'와이드(실측)'!V12+1.5+와이드제작!Q12+1,0))</f>
        <v>22.5</v>
      </c>
      <c r="AA12" s="31">
        <f>'와이드(실측)'!W12+뒷날개치수더함</f>
        <v>22</v>
      </c>
      <c r="AB12" s="31">
        <f>'와이드(실측)'!X12+뒷날개치수더함</f>
        <v>32</v>
      </c>
      <c r="AC12" s="31">
        <f>'와이드(실측)'!Y12-와이드늘치</f>
        <v>75</v>
      </c>
      <c r="AD12" s="31">
        <f>IF(와이드JB하부늘치=1,AC12,'와이드(실측)'!Z12-와이드늘치)</f>
        <v>75</v>
      </c>
      <c r="AE12" s="31">
        <f>'와이드(실측)'!AA12-와이드늘치</f>
        <v>75</v>
      </c>
      <c r="AF12" s="31">
        <f>IF(와이드JB하부늘치=1,AE12,'와이드(실측)'!AB12-와이드늘치)</f>
        <v>75</v>
      </c>
      <c r="AG12" s="31">
        <f xml:space="preserve"> IF(소장&lt;&gt;"손상민",IF('와이드(실측)'!AC12&gt;0,'와이드(실측)'!AC12,C12-1.2),IF('와이드(실측)'!AC12&gt;0,'와이드(실측)'!AC12+1.2,C12) )</f>
        <v>293.8</v>
      </c>
      <c r="AH12" s="31">
        <f xml:space="preserve"> IF(소장&lt;&gt;"손상민",IF('와이드(실측)'!AD12&gt;0,'와이드(실측)'!AD12,D12-1.2),IF('와이드(실측)'!AD12&gt;0,'와이드(실측)'!AD12+1.2,D12))</f>
        <v>293.8</v>
      </c>
      <c r="AI12" s="51">
        <f t="shared" si="10"/>
        <v>2.5</v>
      </c>
      <c r="AJ12" s="31" t="str">
        <f t="shared" si="11"/>
        <v>1121.4*654.7</v>
      </c>
      <c r="AK12" s="31" t="str">
        <f t="shared" si="12"/>
        <v>2388.8*359.6</v>
      </c>
      <c r="AL12" s="31" t="str">
        <f t="shared" si="13"/>
        <v>2388.8*359.6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130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-0.48554583000813362</v>
      </c>
      <c r="AV12" s="21">
        <f t="shared" si="15"/>
        <v>19.988689204470404</v>
      </c>
      <c r="AW12" s="21">
        <f t="shared" si="16"/>
        <v>19.988689204470404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19.988689204470404</v>
      </c>
      <c r="BA12" s="41">
        <f t="shared" si="4"/>
        <v>1121.4000000000001</v>
      </c>
      <c r="BB12" s="42">
        <f>MAX(C12,D12)+MAX(G12,H12)+AA12-1.2*$AJ$3+IF(BI12=0,MAX(AE12,AC12),0)+IF(Y12=0,1.2,0)+IF(Z12=0,1.2,0)+IF(소장&lt;&gt;"손상민", Y12+Z12,IF('와이드(실측)'!U12=0,0,2.4))</f>
        <v>654.70000000000005</v>
      </c>
      <c r="BC12" s="41">
        <f t="shared" si="18"/>
        <v>359.59999999999997</v>
      </c>
      <c r="BD12" s="41">
        <f t="shared" si="19"/>
        <v>2388.8000000000002</v>
      </c>
      <c r="BE12" s="41">
        <f t="shared" si="20"/>
        <v>359.59999999999997</v>
      </c>
      <c r="BF12" s="41">
        <f t="shared" si="21"/>
        <v>2388.8000000000002</v>
      </c>
      <c r="BG12" s="6">
        <f t="shared" si="22"/>
        <v>0</v>
      </c>
      <c r="BH12" s="43" t="str">
        <f t="shared" si="23"/>
        <v/>
      </c>
      <c r="BI12" s="77">
        <f t="shared" si="24"/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2">
    <cfRule type="cellIs" dxfId="85" priority="52" operator="greaterThan">
      <formula>3</formula>
    </cfRule>
  </conditionalFormatting>
  <conditionalFormatting sqref="F7:F12">
    <cfRule type="cellIs" dxfId="84" priority="39" operator="greaterThan">
      <formula>1210</formula>
    </cfRule>
  </conditionalFormatting>
  <conditionalFormatting sqref="I7:L12 C7:D12">
    <cfRule type="cellIs" dxfId="83" priority="38" operator="greaterThan">
      <formula>500</formula>
    </cfRule>
  </conditionalFormatting>
  <conditionalFormatting sqref="C7:D12">
    <cfRule type="cellIs" dxfId="82" priority="36" operator="notEqual">
      <formula>$D7</formula>
    </cfRule>
  </conditionalFormatting>
  <conditionalFormatting sqref="D7:D12">
    <cfRule type="cellIs" dxfId="81" priority="35" operator="notEqual">
      <formula>$C7</formula>
    </cfRule>
  </conditionalFormatting>
  <conditionalFormatting sqref="AO7:AR12">
    <cfRule type="cellIs" dxfId="80" priority="17" operator="greaterThan">
      <formula>1.2</formula>
    </cfRule>
  </conditionalFormatting>
  <conditionalFormatting sqref="AO7:AO12">
    <cfRule type="cellIs" dxfId="79" priority="16" operator="greaterThan">
      <formula>0</formula>
    </cfRule>
  </conditionalFormatting>
  <conditionalFormatting sqref="G7:G12">
    <cfRule type="cellIs" dxfId="78" priority="14" operator="notEqual">
      <formula>H7</formula>
    </cfRule>
  </conditionalFormatting>
  <conditionalFormatting sqref="H7:H12">
    <cfRule type="cellIs" dxfId="77" priority="13" operator="notEqual">
      <formula>G7</formula>
    </cfRule>
  </conditionalFormatting>
  <conditionalFormatting sqref="I7:I12">
    <cfRule type="cellIs" dxfId="76" priority="12" operator="notEqual">
      <formula>J7</formula>
    </cfRule>
  </conditionalFormatting>
  <conditionalFormatting sqref="J7:J12">
    <cfRule type="cellIs" dxfId="75" priority="11" operator="notEqual">
      <formula>I7</formula>
    </cfRule>
  </conditionalFormatting>
  <conditionalFormatting sqref="K7:K12">
    <cfRule type="cellIs" dxfId="74" priority="10" operator="notEqual">
      <formula>L7</formula>
    </cfRule>
  </conditionalFormatting>
  <conditionalFormatting sqref="L7:L12">
    <cfRule type="cellIs" dxfId="73" priority="9" operator="notEqual">
      <formula>K7</formula>
    </cfRule>
  </conditionalFormatting>
  <conditionalFormatting sqref="AG7:AG12">
    <cfRule type="cellIs" dxfId="72" priority="8" operator="notEqual">
      <formula>AH7</formula>
    </cfRule>
  </conditionalFormatting>
  <conditionalFormatting sqref="AH7:AH12">
    <cfRule type="cellIs" dxfId="71" priority="7" operator="notEqual">
      <formula>AG7</formula>
    </cfRule>
  </conditionalFormatting>
  <conditionalFormatting sqref="AC7:AF12">
    <cfRule type="expression" dxfId="70" priority="6">
      <formula>$BI7</formula>
    </cfRule>
  </conditionalFormatting>
  <conditionalFormatting sqref="Y7:Y12">
    <cfRule type="expression" dxfId="69" priority="2">
      <formula>소장="손상민"</formula>
    </cfRule>
  </conditionalFormatting>
  <conditionalFormatting sqref="Z7:Z12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B7" sqref="B7:R10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(판매)남양주초,   (재질) : HL 1.2T</v>
      </c>
      <c r="B3" s="2"/>
      <c r="C3" s="2"/>
      <c r="D3" s="2"/>
      <c r="E3" s="2"/>
      <c r="F3" s="2"/>
      <c r="G3" s="237"/>
      <c r="H3" s="237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72" t="str">
        <f>정보!B11</f>
        <v>제작치수 반영 : JB/JD +(0 ),  늘어난치수K -(0),  C + (0),  U +(0), OP - (0), R - (0),  기둥차감 - (0),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L5:L6"/>
    <mergeCell ref="I5:I6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G3:H3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7" sqref="A7:XFD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(판매)남양주초,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320</v>
      </c>
      <c r="AG3" s="252"/>
      <c r="AH3" s="199"/>
      <c r="AI3" s="253" t="e">
        <f>AN7</f>
        <v>#DIV/0!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+(0 ),  늘어난치수K -(0),  C + (0),  U +(0), OP - (0), R - (0),  기둥차감 - (0),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306</v>
      </c>
      <c r="Z4" s="256"/>
      <c r="AA4" s="257">
        <f>'멍텅(실측)'!U7</f>
        <v>0</v>
      </c>
      <c r="AB4" s="257"/>
      <c r="AC4" s="9"/>
      <c r="AD4" s="185">
        <f ca="1">TODAY()</f>
        <v>45514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8" t="s">
        <v>62</v>
      </c>
      <c r="L5" s="238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300</v>
      </c>
      <c r="AL5" s="178" t="s">
        <v>301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9"/>
      <c r="L6" s="239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(판매)남양주초 ) _유영소장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(판매)남양주초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(판매)남양주초 (쪽쟘제작치수)  유영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7" t="s">
        <v>140</v>
      </c>
      <c r="F3" s="237"/>
      <c r="G3" s="62">
        <v>0</v>
      </c>
      <c r="H3" s="23" t="s">
        <v>141</v>
      </c>
      <c r="I3" s="296">
        <v>0</v>
      </c>
      <c r="J3" s="296"/>
      <c r="K3" s="63"/>
      <c r="L3" s="63"/>
      <c r="M3" s="247" t="s">
        <v>82</v>
      </c>
      <c r="N3" s="247"/>
      <c r="O3" s="247"/>
      <c r="P3" s="297">
        <v>0</v>
      </c>
      <c r="Q3" s="297"/>
      <c r="R3" s="244" t="s">
        <v>90</v>
      </c>
      <c r="S3" s="244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8"/>
      <c r="L6" s="238"/>
      <c r="M6" s="291"/>
      <c r="N6" s="291"/>
      <c r="O6" s="213"/>
      <c r="P6" s="213"/>
      <c r="Q6" s="213"/>
      <c r="R6" s="213"/>
      <c r="S6" s="213"/>
      <c r="T6" s="289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(판매)남양주초 (제작치수 샤링작지) 유영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7" t="s">
        <v>161</v>
      </c>
      <c r="N3" s="247"/>
      <c r="O3" s="247"/>
      <c r="P3" s="297">
        <v>0</v>
      </c>
      <c r="Q3" s="297"/>
      <c r="R3" s="244" t="s">
        <v>162</v>
      </c>
      <c r="S3" s="244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8"/>
      <c r="L6" s="238"/>
      <c r="M6" s="291"/>
      <c r="N6" s="291"/>
      <c r="O6" s="213"/>
      <c r="P6" s="213"/>
      <c r="Q6" s="213"/>
      <c r="R6" s="213"/>
      <c r="S6" s="213"/>
      <c r="T6" s="289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(판매)남양주초 ) _유영소장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(판매)남양주초,   (재질) : VIB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(0), JB/JD +(0 ),  늘어난치수K -(0),  C + (0),   U + (0), OP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70" zoomScaleNormal="70" workbookViewId="0">
      <selection activeCell="BA7" sqref="BA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(판매)남양주초 ) _유영소장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(판매)남양주초,   (재질) : VIB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0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321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(0),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307</v>
      </c>
      <c r="AH4" s="306"/>
      <c r="AI4" s="256">
        <f>'SO와이드(실측)'!AA7</f>
        <v>0</v>
      </c>
      <c r="AJ4" s="256"/>
      <c r="AK4" s="185">
        <f ca="1">TODAY()</f>
        <v>45514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(판매)남양주초,   (재질) : HL 1.2T</v>
      </c>
      <c r="B3" s="2"/>
      <c r="C3" s="2"/>
      <c r="D3" s="2"/>
      <c r="E3" s="2"/>
      <c r="F3" s="2"/>
      <c r="G3" s="2"/>
      <c r="H3" s="237"/>
      <c r="I3" s="237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72" t="str">
        <f>정보!B14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8" t="s">
        <v>22</v>
      </c>
      <c r="U5" s="303" t="s">
        <v>242</v>
      </c>
      <c r="V5" s="304" t="s">
        <v>238</v>
      </c>
      <c r="W5" s="240" t="s">
        <v>21</v>
      </c>
      <c r="X5" s="241"/>
      <c r="Y5" s="241"/>
      <c r="Z5" s="242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9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67" zoomScaleNormal="67" workbookViewId="0">
      <selection activeCell="AT8" sqref="AT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(판매)남양주초,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0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322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308</v>
      </c>
      <c r="AD4" s="336"/>
      <c r="AE4" s="337">
        <f>'SO멍텅(실측)'!W7</f>
        <v>0</v>
      </c>
      <c r="AF4" s="337"/>
      <c r="AG4" s="158"/>
      <c r="AH4" s="334">
        <f ca="1">TODAY()</f>
        <v>45514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8" t="s">
        <v>62</v>
      </c>
      <c r="O5" s="238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8" t="s">
        <v>22</v>
      </c>
      <c r="AA5" s="303" t="s">
        <v>242</v>
      </c>
      <c r="AB5" s="304" t="s">
        <v>238</v>
      </c>
      <c r="AC5" s="240" t="s">
        <v>21</v>
      </c>
      <c r="AD5" s="241"/>
      <c r="AE5" s="241"/>
      <c r="AF5" s="242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300</v>
      </c>
      <c r="AP5" s="178" t="s">
        <v>301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9"/>
      <c r="O6" s="239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9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(판매)남양주초 ) _유영소장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(판매)남양주초,   (재질) :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(0), JB/JD +(0 ),  늘어난치수K -(0),  C + (0),   U + (0), OP1/OP3 -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70" zoomScaleNormal="70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(판매)남양주초 ) _유영소장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(판매)남양주초,   (재질) :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0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323</v>
      </c>
      <c r="AU3" s="342"/>
      <c r="AV3" s="195" t="e">
        <f>AZ7</f>
        <v>#DIV/0!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(0), JB/JD +(0 ),  늘어난치수K -(0),  C + (0),   U + 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309</v>
      </c>
      <c r="AI4" s="341"/>
      <c r="AJ4" s="341">
        <f>'4CO와이드(실측)'!AB7</f>
        <v>0</v>
      </c>
      <c r="AK4" s="341"/>
      <c r="AL4" s="185">
        <f ca="1">TODAY()</f>
        <v>45514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329</v>
      </c>
      <c r="Q5" s="316" t="s">
        <v>330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(판매)남양주초,   (재질) : HL 1.2T</v>
      </c>
      <c r="B3" s="2"/>
      <c r="C3" s="2"/>
      <c r="D3" s="2"/>
      <c r="E3" s="2"/>
      <c r="F3" s="2"/>
      <c r="G3" s="2"/>
      <c r="H3" s="2"/>
      <c r="I3" s="2"/>
      <c r="J3" s="237"/>
      <c r="K3" s="237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72" t="str">
        <f>정보!B16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302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(판매)남양주초,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0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324</v>
      </c>
      <c r="AL3" s="19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307</v>
      </c>
      <c r="AE4" s="341"/>
      <c r="AF4" s="341">
        <f>'4CO멍텅(실측)'!X7</f>
        <v>0</v>
      </c>
      <c r="AG4" s="341"/>
      <c r="AH4" s="9"/>
      <c r="AI4" s="185">
        <f ca="1">TODAY()</f>
        <v>45514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331</v>
      </c>
      <c r="O5" s="316" t="s">
        <v>332</v>
      </c>
      <c r="P5" s="238" t="s">
        <v>62</v>
      </c>
      <c r="Q5" s="238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300</v>
      </c>
      <c r="AQ5" s="178" t="s">
        <v>301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9"/>
      <c r="Q6" s="239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(판매)남양주초,   (재질) : HL 1.2T</v>
      </c>
      <c r="B3" s="2"/>
      <c r="C3" s="2"/>
      <c r="D3" s="2"/>
      <c r="E3" s="2"/>
      <c r="F3" s="2"/>
      <c r="G3" s="237"/>
      <c r="H3" s="237"/>
      <c r="I3" s="237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72" t="str">
        <f>정보!B17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303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(판매)남양주초,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325</v>
      </c>
      <c r="AK3" s="199"/>
      <c r="AL3" s="160" t="e">
        <f>AO7</f>
        <v>#DIV/0!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326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45514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8" t="s">
        <v>62</v>
      </c>
      <c r="N5" s="238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300</v>
      </c>
      <c r="AM5" s="178" t="s">
        <v>301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9"/>
      <c r="N6" s="239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(판매)남양주초 ) _유영소장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(판매)남양주초,   (재질) : HL 1.2T</v>
      </c>
      <c r="B3" s="2"/>
      <c r="C3" s="2"/>
      <c r="D3" s="2"/>
      <c r="E3" s="2"/>
      <c r="F3" s="2"/>
      <c r="G3" s="237"/>
      <c r="H3" s="237"/>
      <c r="I3" s="237"/>
      <c r="J3" s="237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72" t="str">
        <f>정보!B18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9"/>
      <c r="AB6" s="239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(판매)남양주초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304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(판매)남양주초,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0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321</v>
      </c>
      <c r="AQ3" s="362"/>
      <c r="AR3" s="160" t="e">
        <f>AU7</f>
        <v>#DIV/0!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327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45514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8" t="s">
        <v>62</v>
      </c>
      <c r="P5" s="238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300</v>
      </c>
      <c r="AS5" s="178" t="s">
        <v>301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9"/>
      <c r="P6" s="239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9"/>
      <c r="AF6" s="239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2024-08-10T00:52:45Z</dcterms:modified>
</cp:coreProperties>
</file>