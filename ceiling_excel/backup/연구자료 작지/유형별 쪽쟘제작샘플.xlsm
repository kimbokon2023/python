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bookViews>
    <workbookView xWindow="28680" yWindow="765" windowWidth="29040" windowHeight="15840" tabRatio="947" activeTab="7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쪽쟘제작!$A$1:$AH$15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14" l="1"/>
  <c r="B16" i="14"/>
  <c r="D16" i="14"/>
  <c r="AC16" i="14" s="1"/>
  <c r="C16" i="14" s="1"/>
  <c r="E16" i="14"/>
  <c r="F16" i="14"/>
  <c r="AG16" i="14" s="1"/>
  <c r="I16" i="14"/>
  <c r="J16" i="14"/>
  <c r="K16" i="14"/>
  <c r="L16" i="14"/>
  <c r="M16" i="14"/>
  <c r="N16" i="14"/>
  <c r="O16" i="14"/>
  <c r="AF16" i="14" s="1"/>
  <c r="P16" i="14"/>
  <c r="Q16" i="14"/>
  <c r="R16" i="14"/>
  <c r="S16" i="14"/>
  <c r="T16" i="14"/>
  <c r="U16" i="14"/>
  <c r="V16" i="14"/>
  <c r="W16" i="14"/>
  <c r="X16" i="14"/>
  <c r="Y16" i="14"/>
  <c r="Z16" i="14"/>
  <c r="AA16" i="14"/>
  <c r="AD16" i="14"/>
  <c r="AH16" i="14"/>
  <c r="H16" i="14" l="1"/>
  <c r="AE16" i="14"/>
  <c r="G16" i="14" s="1"/>
  <c r="AA7" i="14"/>
  <c r="A57" i="15" l="1"/>
  <c r="B57" i="15"/>
  <c r="C57" i="15"/>
  <c r="D57" i="15"/>
  <c r="A58" i="15"/>
  <c r="B58" i="15"/>
  <c r="C58" i="15"/>
  <c r="D58" i="15"/>
  <c r="A49" i="15"/>
  <c r="B49" i="15"/>
  <c r="C49" i="15"/>
  <c r="D49" i="15"/>
  <c r="A50" i="15"/>
  <c r="B50" i="15"/>
  <c r="C50" i="15"/>
  <c r="D50" i="15"/>
  <c r="A51" i="15"/>
  <c r="B51" i="15"/>
  <c r="C51" i="15"/>
  <c r="D51" i="15"/>
  <c r="A52" i="15"/>
  <c r="B52" i="15"/>
  <c r="C52" i="15"/>
  <c r="D52" i="15"/>
  <c r="A53" i="15"/>
  <c r="B53" i="15"/>
  <c r="C53" i="15"/>
  <c r="D53" i="15"/>
  <c r="A54" i="15"/>
  <c r="B54" i="15"/>
  <c r="C54" i="15"/>
  <c r="D54" i="15"/>
  <c r="H54" i="15"/>
  <c r="A55" i="15"/>
  <c r="B55" i="15"/>
  <c r="C55" i="15"/>
  <c r="D55" i="15"/>
  <c r="A56" i="15"/>
  <c r="B56" i="15"/>
  <c r="C56" i="15"/>
  <c r="D56" i="15"/>
  <c r="A37" i="15"/>
  <c r="B37" i="15"/>
  <c r="C37" i="15"/>
  <c r="D37" i="15"/>
  <c r="A38" i="15"/>
  <c r="B38" i="15"/>
  <c r="C38" i="15"/>
  <c r="D38" i="15"/>
  <c r="A39" i="15"/>
  <c r="B39" i="15"/>
  <c r="C39" i="15"/>
  <c r="D39" i="15"/>
  <c r="A40" i="15"/>
  <c r="B40" i="15"/>
  <c r="C40" i="15"/>
  <c r="D40" i="15"/>
  <c r="A41" i="15"/>
  <c r="B41" i="15"/>
  <c r="C41" i="15"/>
  <c r="D41" i="15"/>
  <c r="A42" i="15"/>
  <c r="B42" i="15"/>
  <c r="C42" i="15"/>
  <c r="D42" i="15"/>
  <c r="H42" i="15"/>
  <c r="A43" i="15"/>
  <c r="B43" i="15"/>
  <c r="C43" i="15"/>
  <c r="D43" i="15"/>
  <c r="A44" i="15"/>
  <c r="B44" i="15"/>
  <c r="C44" i="15"/>
  <c r="D44" i="15"/>
  <c r="A45" i="15"/>
  <c r="B45" i="15"/>
  <c r="C45" i="15"/>
  <c r="D45" i="15"/>
  <c r="A46" i="15"/>
  <c r="B46" i="15"/>
  <c r="C46" i="15"/>
  <c r="D46" i="15"/>
  <c r="A47" i="15"/>
  <c r="B47" i="15"/>
  <c r="C47" i="15"/>
  <c r="D47" i="15"/>
  <c r="A48" i="15"/>
  <c r="B48" i="15"/>
  <c r="C48" i="15"/>
  <c r="D48" i="15"/>
  <c r="A8" i="15"/>
  <c r="B8" i="15"/>
  <c r="C8" i="15"/>
  <c r="D8" i="15"/>
  <c r="A9" i="15"/>
  <c r="B9" i="15"/>
  <c r="C9" i="15"/>
  <c r="D9" i="15"/>
  <c r="A10" i="15"/>
  <c r="B10" i="15"/>
  <c r="C10" i="15"/>
  <c r="D10" i="15"/>
  <c r="A11" i="15"/>
  <c r="B11" i="15"/>
  <c r="C11" i="15"/>
  <c r="D11" i="15"/>
  <c r="A12" i="15"/>
  <c r="B12" i="15"/>
  <c r="C12" i="15"/>
  <c r="D12" i="15"/>
  <c r="A13" i="15"/>
  <c r="B13" i="15"/>
  <c r="C13" i="15"/>
  <c r="D13" i="15"/>
  <c r="A14" i="15"/>
  <c r="B14" i="15"/>
  <c r="C14" i="15"/>
  <c r="D14" i="15"/>
  <c r="A15" i="15"/>
  <c r="B15" i="15"/>
  <c r="C15" i="15"/>
  <c r="D15" i="15"/>
  <c r="A16" i="15"/>
  <c r="B16" i="15"/>
  <c r="C16" i="15"/>
  <c r="D16" i="15"/>
  <c r="A17" i="15"/>
  <c r="B17" i="15"/>
  <c r="C17" i="15"/>
  <c r="D17" i="15"/>
  <c r="A18" i="15"/>
  <c r="B18" i="15"/>
  <c r="C18" i="15"/>
  <c r="D18" i="15"/>
  <c r="A19" i="15"/>
  <c r="B19" i="15"/>
  <c r="C19" i="15"/>
  <c r="D19" i="15"/>
  <c r="A20" i="15"/>
  <c r="B20" i="15"/>
  <c r="C20" i="15"/>
  <c r="D20" i="15"/>
  <c r="A21" i="15"/>
  <c r="B21" i="15"/>
  <c r="C21" i="15"/>
  <c r="D21" i="15"/>
  <c r="A22" i="15"/>
  <c r="B22" i="15"/>
  <c r="C22" i="15"/>
  <c r="D22" i="15"/>
  <c r="A23" i="15"/>
  <c r="B23" i="15"/>
  <c r="C23" i="15"/>
  <c r="D23" i="15"/>
  <c r="A24" i="15"/>
  <c r="B24" i="15"/>
  <c r="C24" i="15"/>
  <c r="D24" i="15"/>
  <c r="A25" i="15"/>
  <c r="B25" i="15"/>
  <c r="C25" i="15"/>
  <c r="D25" i="15"/>
  <c r="A26" i="15"/>
  <c r="B26" i="15"/>
  <c r="C26" i="15"/>
  <c r="D26" i="15"/>
  <c r="A27" i="15"/>
  <c r="B27" i="15"/>
  <c r="C27" i="15"/>
  <c r="D27" i="15"/>
  <c r="A28" i="15"/>
  <c r="B28" i="15"/>
  <c r="C28" i="15"/>
  <c r="D28" i="15"/>
  <c r="A29" i="15"/>
  <c r="B29" i="15"/>
  <c r="C29" i="15"/>
  <c r="D29" i="15"/>
  <c r="A30" i="15"/>
  <c r="B30" i="15"/>
  <c r="C30" i="15"/>
  <c r="D30" i="15"/>
  <c r="A31" i="15"/>
  <c r="B31" i="15"/>
  <c r="C31" i="15"/>
  <c r="D31" i="15"/>
  <c r="A32" i="15"/>
  <c r="B32" i="15"/>
  <c r="C32" i="15"/>
  <c r="D32" i="15"/>
  <c r="A33" i="15"/>
  <c r="B33" i="15"/>
  <c r="C33" i="15"/>
  <c r="D33" i="15"/>
  <c r="A34" i="15"/>
  <c r="B34" i="15"/>
  <c r="C34" i="15"/>
  <c r="D34" i="15"/>
  <c r="A35" i="15"/>
  <c r="B35" i="15"/>
  <c r="C35" i="15"/>
  <c r="D35" i="15"/>
  <c r="A36" i="15"/>
  <c r="B36" i="15"/>
  <c r="C36" i="15"/>
  <c r="D36" i="15"/>
  <c r="G36" i="15"/>
  <c r="G58" i="15"/>
  <c r="H58" i="15"/>
  <c r="G35" i="15"/>
  <c r="H35" i="15"/>
  <c r="H36" i="15"/>
  <c r="G37" i="15"/>
  <c r="H37" i="15"/>
  <c r="G38" i="15"/>
  <c r="H38" i="15"/>
  <c r="G39" i="15"/>
  <c r="H39" i="15"/>
  <c r="G40" i="15"/>
  <c r="H40" i="15"/>
  <c r="G41" i="15"/>
  <c r="H41" i="15"/>
  <c r="G43" i="15"/>
  <c r="H43" i="15"/>
  <c r="G44" i="15"/>
  <c r="H44" i="15"/>
  <c r="G45" i="15"/>
  <c r="H45" i="15"/>
  <c r="G46" i="15"/>
  <c r="H46" i="15"/>
  <c r="G47" i="15"/>
  <c r="H47" i="15"/>
  <c r="G48" i="15"/>
  <c r="H48" i="15"/>
  <c r="G49" i="15"/>
  <c r="H49" i="15"/>
  <c r="G50" i="15"/>
  <c r="H50" i="15"/>
  <c r="G51" i="15"/>
  <c r="H51" i="15"/>
  <c r="G52" i="15"/>
  <c r="H52" i="15"/>
  <c r="G53" i="15"/>
  <c r="H53" i="15"/>
  <c r="G54" i="15"/>
  <c r="G55" i="15"/>
  <c r="H55" i="15"/>
  <c r="G56" i="15"/>
  <c r="H56" i="15"/>
  <c r="G57" i="15"/>
  <c r="H57" i="15"/>
  <c r="J8" i="14"/>
  <c r="J9" i="14"/>
  <c r="J10" i="14"/>
  <c r="J11" i="14"/>
  <c r="J12" i="14"/>
  <c r="J13" i="14"/>
  <c r="J14" i="14"/>
  <c r="J15" i="14"/>
  <c r="J7" i="14"/>
  <c r="I8" i="14"/>
  <c r="I9" i="14"/>
  <c r="I10" i="14"/>
  <c r="I11" i="14"/>
  <c r="I12" i="14"/>
  <c r="I13" i="14"/>
  <c r="I14" i="14"/>
  <c r="I15" i="14"/>
  <c r="I7" i="14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/>
  <c r="AE8" i="8"/>
  <c r="AF8" i="8" s="1"/>
  <c r="AM8" i="8"/>
  <c r="AN8" i="8"/>
  <c r="AO8" i="8"/>
  <c r="AP8" i="8"/>
  <c r="AQ8" i="8"/>
  <c r="AR8" i="8"/>
  <c r="AS8" i="8"/>
  <c r="S8" i="8" s="1"/>
  <c r="AT8" i="8"/>
  <c r="T8" i="8" s="1"/>
  <c r="AX8" i="8"/>
  <c r="A9" i="8"/>
  <c r="B9" i="8"/>
  <c r="E9" i="8"/>
  <c r="F9" i="8"/>
  <c r="U9" i="8"/>
  <c r="V9" i="8"/>
  <c r="W9" i="8"/>
  <c r="X9" i="8"/>
  <c r="Y9" i="8"/>
  <c r="D9" i="8" s="1"/>
  <c r="AH9" i="8" s="1"/>
  <c r="BF9" i="8" s="1"/>
  <c r="AA9" i="8"/>
  <c r="AB9" i="8"/>
  <c r="AC9" i="8"/>
  <c r="AD9" i="8" s="1"/>
  <c r="AE9" i="8"/>
  <c r="AF9" i="8"/>
  <c r="AM9" i="8"/>
  <c r="AN9" i="8"/>
  <c r="AO9" i="8"/>
  <c r="AP9" i="8"/>
  <c r="AQ9" i="8"/>
  <c r="AR9" i="8"/>
  <c r="AS9" i="8"/>
  <c r="S9" i="8" s="1"/>
  <c r="AT9" i="8"/>
  <c r="T9" i="8" s="1"/>
  <c r="BI9" i="8"/>
  <c r="L9" i="8" s="1"/>
  <c r="G42" i="15" l="1"/>
  <c r="AX9" i="8"/>
  <c r="I9" i="8"/>
  <c r="J9" i="8"/>
  <c r="P8" i="8"/>
  <c r="N8" i="8" s="1"/>
  <c r="O8" i="8"/>
  <c r="M8" i="8" s="1"/>
  <c r="P9" i="8"/>
  <c r="N9" i="8" s="1"/>
  <c r="O9" i="8"/>
  <c r="M9" i="8" s="1"/>
  <c r="AG8" i="8"/>
  <c r="BD8" i="8" s="1"/>
  <c r="AY9" i="8"/>
  <c r="K9" i="8"/>
  <c r="C9" i="8"/>
  <c r="H9" i="8"/>
  <c r="AU9" i="8" s="1"/>
  <c r="BI8" i="8"/>
  <c r="G9" i="8"/>
  <c r="D8" i="8"/>
  <c r="AH8" i="8" s="1"/>
  <c r="BF8" i="8" s="1"/>
  <c r="AY8" i="8"/>
  <c r="D8" i="14"/>
  <c r="D9" i="14"/>
  <c r="D10" i="14"/>
  <c r="D11" i="14"/>
  <c r="D12" i="14"/>
  <c r="D13" i="14"/>
  <c r="D14" i="14"/>
  <c r="D15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P7" i="14"/>
  <c r="Q7" i="14"/>
  <c r="R7" i="14"/>
  <c r="O7" i="14"/>
  <c r="V7" i="8"/>
  <c r="W7" i="8"/>
  <c r="X7" i="8"/>
  <c r="U7" i="8"/>
  <c r="G30" i="15"/>
  <c r="H30" i="15"/>
  <c r="G31" i="15"/>
  <c r="H31" i="15"/>
  <c r="H33" i="15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H29" i="15" l="1"/>
  <c r="H27" i="15"/>
  <c r="H26" i="15"/>
  <c r="H28" i="15"/>
  <c r="H32" i="15"/>
  <c r="H34" i="15"/>
  <c r="G29" i="15"/>
  <c r="G27" i="15"/>
  <c r="G26" i="15"/>
  <c r="G28" i="15"/>
  <c r="G33" i="15"/>
  <c r="G32" i="15"/>
  <c r="G34" i="15"/>
  <c r="BH8" i="8"/>
  <c r="BC9" i="8"/>
  <c r="BE9" i="8"/>
  <c r="AL9" i="8" s="1"/>
  <c r="BH9" i="8"/>
  <c r="AG9" i="8"/>
  <c r="BD9" i="8" s="1"/>
  <c r="AK9" i="8" s="1"/>
  <c r="AW9" i="8"/>
  <c r="R9" i="8" s="1"/>
  <c r="AV9" i="8"/>
  <c r="I8" i="8"/>
  <c r="J8" i="8"/>
  <c r="K8" i="8"/>
  <c r="L8" i="8"/>
  <c r="G8" i="8"/>
  <c r="H8" i="8"/>
  <c r="C7" i="26"/>
  <c r="E7" i="26"/>
  <c r="AF4" i="26"/>
  <c r="AJ4" i="24"/>
  <c r="AE4" i="22"/>
  <c r="AI4" i="19"/>
  <c r="AA4" i="10"/>
  <c r="AE3" i="8"/>
  <c r="BE8" i="8" l="1"/>
  <c r="AL8" i="8" s="1"/>
  <c r="BC8" i="8"/>
  <c r="AK8" i="8" s="1"/>
  <c r="AU8" i="8"/>
  <c r="AW8" i="8" s="1"/>
  <c r="R8" i="8" s="1"/>
  <c r="AZ9" i="8"/>
  <c r="Q9" i="8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V8" i="8" l="1"/>
  <c r="Z9" i="8"/>
  <c r="BG9" i="8"/>
  <c r="AI7" i="32"/>
  <c r="AE4" i="32"/>
  <c r="AD7" i="28"/>
  <c r="AA4" i="28"/>
  <c r="AH7" i="32"/>
  <c r="AE7" i="26"/>
  <c r="AK7" i="32"/>
  <c r="C7" i="19"/>
  <c r="D7" i="24"/>
  <c r="AI9" i="8" l="1"/>
  <c r="BA9" i="8"/>
  <c r="BB9" i="8"/>
  <c r="Q8" i="8"/>
  <c r="AZ8" i="8"/>
  <c r="AS7" i="32"/>
  <c r="T7" i="32" s="1"/>
  <c r="AR7" i="32"/>
  <c r="AJ9" i="8" l="1"/>
  <c r="Z8" i="8"/>
  <c r="BG8" i="8"/>
  <c r="S7" i="32"/>
  <c r="Q7" i="32" s="1"/>
  <c r="AD7" i="32"/>
  <c r="AC7" i="32" s="1"/>
  <c r="R7" i="32"/>
  <c r="AQ7" i="26"/>
  <c r="U7" i="26" s="1"/>
  <c r="S7" i="26" s="1"/>
  <c r="AP7" i="26"/>
  <c r="AI8" i="8" l="1"/>
  <c r="BA8" i="8"/>
  <c r="BB8" i="8"/>
  <c r="AL7" i="10"/>
  <c r="AK7" i="10"/>
  <c r="AJ8" i="8" l="1"/>
  <c r="W7" i="32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E57" i="15" l="1"/>
  <c r="E58" i="15"/>
  <c r="E49" i="15"/>
  <c r="E50" i="15"/>
  <c r="E51" i="15"/>
  <c r="E52" i="15"/>
  <c r="E53" i="15"/>
  <c r="E54" i="15"/>
  <c r="E55" i="15"/>
  <c r="E5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F57" i="15"/>
  <c r="F58" i="15"/>
  <c r="F49" i="15"/>
  <c r="F50" i="15"/>
  <c r="F51" i="15"/>
  <c r="F52" i="15"/>
  <c r="F53" i="15"/>
  <c r="F54" i="15"/>
  <c r="F55" i="15"/>
  <c r="F5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AV7" i="32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K8" i="14"/>
  <c r="L8" i="14"/>
  <c r="M8" i="14"/>
  <c r="N8" i="14"/>
  <c r="H8" i="15" s="1"/>
  <c r="S8" i="14"/>
  <c r="T8" i="14"/>
  <c r="U8" i="14"/>
  <c r="V8" i="14"/>
  <c r="W8" i="14"/>
  <c r="X8" i="14"/>
  <c r="Y8" i="14"/>
  <c r="Z8" i="14"/>
  <c r="AA8" i="14"/>
  <c r="A9" i="14"/>
  <c r="B9" i="14"/>
  <c r="K9" i="14"/>
  <c r="L9" i="14"/>
  <c r="M9" i="14"/>
  <c r="N9" i="14"/>
  <c r="H9" i="15" s="1"/>
  <c r="S9" i="14"/>
  <c r="T9" i="14"/>
  <c r="U9" i="14"/>
  <c r="V9" i="14"/>
  <c r="W9" i="14"/>
  <c r="X9" i="14"/>
  <c r="Y9" i="14"/>
  <c r="Z9" i="14"/>
  <c r="AA9" i="14"/>
  <c r="A10" i="14"/>
  <c r="B10" i="14"/>
  <c r="K10" i="14"/>
  <c r="L10" i="14"/>
  <c r="M10" i="14"/>
  <c r="N10" i="14"/>
  <c r="H10" i="15" s="1"/>
  <c r="S10" i="14"/>
  <c r="T10" i="14"/>
  <c r="U10" i="14"/>
  <c r="V10" i="14"/>
  <c r="W10" i="14"/>
  <c r="X10" i="14"/>
  <c r="Y10" i="14"/>
  <c r="Z10" i="14"/>
  <c r="AA10" i="14"/>
  <c r="A11" i="14"/>
  <c r="B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K13" i="14"/>
  <c r="L13" i="14"/>
  <c r="M13" i="14"/>
  <c r="N13" i="14"/>
  <c r="H13" i="15" s="1"/>
  <c r="S13" i="14"/>
  <c r="T13" i="14"/>
  <c r="U13" i="14"/>
  <c r="V13" i="14"/>
  <c r="W13" i="14"/>
  <c r="X13" i="14"/>
  <c r="Y13" i="14"/>
  <c r="Z13" i="14"/>
  <c r="AA13" i="14"/>
  <c r="A14" i="14"/>
  <c r="B14" i="14"/>
  <c r="K14" i="14"/>
  <c r="L14" i="14"/>
  <c r="M14" i="14"/>
  <c r="N14" i="14"/>
  <c r="H14" i="15" s="1"/>
  <c r="S14" i="14"/>
  <c r="T14" i="14"/>
  <c r="U14" i="14"/>
  <c r="V14" i="14"/>
  <c r="W14" i="14"/>
  <c r="X14" i="14"/>
  <c r="Y14" i="14"/>
  <c r="Z14" i="14"/>
  <c r="AA14" i="14"/>
  <c r="A15" i="14"/>
  <c r="B15" i="14"/>
  <c r="K15" i="14"/>
  <c r="G15" i="15" s="1"/>
  <c r="L15" i="14"/>
  <c r="M15" i="14"/>
  <c r="N15" i="14"/>
  <c r="S15" i="14"/>
  <c r="T15" i="14"/>
  <c r="U15" i="14"/>
  <c r="V15" i="14"/>
  <c r="W15" i="14"/>
  <c r="X15" i="14"/>
  <c r="Y15" i="14"/>
  <c r="Z15" i="14"/>
  <c r="AA15" i="14"/>
  <c r="H16" i="15"/>
  <c r="G18" i="15"/>
  <c r="H18" i="15"/>
  <c r="H19" i="15"/>
  <c r="H21" i="15"/>
  <c r="H22" i="15"/>
  <c r="H23" i="15"/>
  <c r="H24" i="15"/>
  <c r="H25" i="15"/>
  <c r="H11" i="15" l="1"/>
  <c r="G13" i="15"/>
  <c r="H20" i="15"/>
  <c r="G17" i="15"/>
  <c r="G22" i="15"/>
  <c r="H12" i="15"/>
  <c r="G9" i="15"/>
  <c r="G10" i="15"/>
  <c r="G21" i="15"/>
  <c r="G8" i="15"/>
  <c r="G25" i="15"/>
  <c r="G11" i="15"/>
  <c r="G24" i="15"/>
  <c r="H15" i="15"/>
  <c r="G12" i="15"/>
  <c r="G19" i="15"/>
  <c r="G16" i="15"/>
  <c r="G20" i="15"/>
  <c r="G23" i="15"/>
  <c r="H17" i="15"/>
  <c r="G14" i="15"/>
  <c r="AM7" i="32"/>
  <c r="AF8" i="14"/>
  <c r="AF11" i="14"/>
  <c r="AH10" i="14"/>
  <c r="AH9" i="14"/>
  <c r="AH14" i="14"/>
  <c r="E9" i="14"/>
  <c r="AD9" i="14" s="1"/>
  <c r="AH8" i="14"/>
  <c r="AH11" i="14"/>
  <c r="E10" i="14"/>
  <c r="AD10" i="14" s="1"/>
  <c r="AH13" i="14"/>
  <c r="AH15" i="14"/>
  <c r="E15" i="14"/>
  <c r="AD15" i="14" s="1"/>
  <c r="E12" i="14"/>
  <c r="AD12" i="14" s="1"/>
  <c r="AF13" i="14"/>
  <c r="AF12" i="14"/>
  <c r="AC12" i="14"/>
  <c r="E14" i="14"/>
  <c r="AD14" i="14" s="1"/>
  <c r="AF15" i="14"/>
  <c r="AH12" i="14"/>
  <c r="AF10" i="14"/>
  <c r="AC9" i="14"/>
  <c r="F13" i="14"/>
  <c r="AE13" i="14" s="1"/>
  <c r="E8" i="14"/>
  <c r="AD8" i="14" s="1"/>
  <c r="AF9" i="14"/>
  <c r="AC11" i="14"/>
  <c r="AF14" i="14"/>
  <c r="AC13" i="14"/>
  <c r="E11" i="14"/>
  <c r="AD11" i="14" s="1"/>
  <c r="F15" i="14"/>
  <c r="AE15" i="14" s="1"/>
  <c r="AC15" i="14"/>
  <c r="AC10" i="14"/>
  <c r="F8" i="14"/>
  <c r="AG8" i="14" s="1"/>
  <c r="F9" i="14"/>
  <c r="AG9" i="14" s="1"/>
  <c r="AC14" i="14"/>
  <c r="AC8" i="14"/>
  <c r="E13" i="14"/>
  <c r="AD13" i="14" s="1"/>
  <c r="F12" i="14"/>
  <c r="AG12" i="14" s="1"/>
  <c r="F11" i="14"/>
  <c r="AG11" i="14" s="1"/>
  <c r="F10" i="14"/>
  <c r="AG10" i="14" s="1"/>
  <c r="F14" i="14"/>
  <c r="AE14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0" i="14"/>
  <c r="G10" i="14" s="1"/>
  <c r="AE11" i="14"/>
  <c r="G11" i="14" s="1"/>
  <c r="AG15" i="14"/>
  <c r="H15" i="14" s="1"/>
  <c r="AE9" i="14"/>
  <c r="G9" i="14" s="1"/>
  <c r="AE12" i="14"/>
  <c r="G12" i="14" s="1"/>
  <c r="AG14" i="14"/>
  <c r="H14" i="14" s="1"/>
  <c r="C12" i="14"/>
  <c r="G15" i="14"/>
  <c r="G13" i="14"/>
  <c r="C9" i="14"/>
  <c r="C14" i="14"/>
  <c r="C15" i="14"/>
  <c r="C13" i="14"/>
  <c r="C10" i="14"/>
  <c r="H9" i="14"/>
  <c r="C8" i="14"/>
  <c r="H8" i="14"/>
  <c r="C11" i="14"/>
  <c r="H12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F8" i="15" l="1"/>
  <c r="E8" i="15"/>
  <c r="H7" i="15"/>
  <c r="G7" i="15"/>
  <c r="A2" i="15"/>
  <c r="AF7" i="14"/>
  <c r="E7" i="14"/>
  <c r="AD7" i="14" s="1"/>
  <c r="AH7" i="14"/>
  <c r="AC7" i="14"/>
  <c r="C2" i="14"/>
  <c r="F7" i="14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>
  <authors>
    <author>ROG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K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M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L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<sst xmlns="http://schemas.openxmlformats.org/spreadsheetml/2006/main" count="1171" uniqueCount="339">
  <si>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</si>
  <si>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</si>
  <si>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</si>
  <si>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</si>
  <si>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</si>
  <si>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</si>
  <si>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</si>
  <si>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</si>
  <si>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</si>
  <si>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</si>
  <si>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</si>
  <si>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</si>
  <si>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</si>
  <si>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</si>
  <si>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</si>
  <si>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</si>
  <si>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</si>
  <si>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</si>
  <si>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</si>
  <si>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</si>
  <si>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</si>
  <si>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</si>
  <si>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</si>
  <si>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</si>
  <si>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</si>
  <si>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</si>
  <si>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</si>
  <si>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</si>
  <si>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</si>
  <si>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</si>
  <si>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</si>
  <si>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</si>
  <si>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</si>
  <si>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</si>
  <si>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</si>
  <si>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</si>
  <si>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</si>
  <si>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</si>
  <si>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</si>
  <si>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</si>
  <si>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</si>
  <si>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</si>
  <si>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</si>
  <si>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</si>
  <si>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</si>
  <si>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</si>
  <si>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</si>
  <si>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</si>
  <si>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</si>
  <si>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</si>
  <si>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</si>
  <si>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</si>
  <si>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</si>
  <si>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</si>
  <si>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</si>
  <si>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</si>
  <si>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</si>
  <si>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</si>
  <si>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</si>
  <si>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</si>
  <si>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</si>
  <si>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</si>
  <si>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</si>
  <si>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</si>
  <si>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</si>
  <si>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</si>
  <si>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</si>
  <si>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</si>
  <si>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</si>
  <si>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</si>
  <si>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</si>
  <si>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</si>
  <si>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</si>
  <si>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</si>
  <si>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</si>
  <si>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</si>
  <si>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</si>
  <si>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</si>
  <si>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</si>
  <si>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</si>
  <si>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</si>
  <si>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</si>
  <si>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</si>
  <si>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</si>
  <si>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</si>
  <si>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</si>
  <si>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</si>
  <si>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</si>
  <si>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</si>
  <si>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</si>
  <si>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</si>
  <si>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</si>
  <si>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</si>
  <si>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</si>
  <si>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</si>
  <si>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</si>
  <si>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</si>
  <si>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</si>
  <si>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</si>
  <si>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</si>
  <si>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</si>
  <si>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</si>
  <si>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</si>
  <si>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</si>
  <si>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</si>
  <si>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</si>
  <si>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</si>
  <si>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</si>
  <si>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</si>
  <si>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</si>
  <si>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</si>
  <si>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</si>
  <si>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</si>
  <si>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</si>
  <si>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</si>
  <si>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</si>
  <si>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</si>
  <si>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</si>
  <si>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</si>
  <si>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</si>
  <si>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</si>
  <si>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</si>
  <si>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</si>
  <si>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</si>
  <si>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</si>
  <si>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</si>
  <si>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</si>
  <si>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</si>
  <si>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</si>
  <si>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</si>
  <si>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</si>
  <si>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</si>
  <si>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</si>
  <si>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</si>
  <si>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</si>
  <si>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</si>
  <si>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</si>
  <si>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</si>
  <si>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</si>
  <si>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</si>
  <si>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</si>
  <si>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</si>
  <si>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</si>
  <si>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</si>
  <si>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</si>
  <si>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</si>
  <si>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</si>
  <si>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</si>
  <si>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</si>
  <si>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</si>
  <si>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</si>
  <si>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</si>
  <si>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</si>
  <si>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</si>
  <si>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</si>
  <si>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</si>
  <si>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</si>
  <si>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</si>
  <si>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</si>
  <si>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</si>
  <si>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</si>
  <si>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</si>
  <si>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</si>
  <si>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</si>
  <si>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</si>
  <si>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</si>
  <si>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</si>
  <si>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</si>
  <si>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</si>
  <si>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</si>
  <si>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</si>
  <si>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</si>
  <si>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</si>
  <si>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</si>
  <si>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</si>
  <si>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</si>
  <si>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</si>
  <si>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</si>
  <si>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</si>
  <si>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</si>
  <si>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</si>
  <si>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</si>
  <si>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</si>
  <si>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</si>
  <si>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</si>
  <si>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</si>
  <si>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</si>
  <si>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</si>
  <si>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</si>
  <si>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</si>
  <si>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</si>
  <si>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</si>
  <si>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</si>
  <si>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</si>
  <si>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</si>
  <si>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</si>
  <si>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</si>
  <si>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</si>
  <si>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</si>
  <si>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</si>
  <si>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</si>
  <si>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</si>
  <si>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</si>
  <si>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</si>
  <si>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</si>
  <si>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</si>
  <si>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</si>
  <si>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</si>
  <si>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</si>
  <si>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</si>
  <si>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</si>
  <si>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</si>
  <si>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</si>
  <si>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</si>
  <si>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</si>
  <si>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</si>
  <si>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</si>
  <si>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</si>
  <si>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</si>
  <si>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</si>
  <si>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</si>
  <si>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</si>
  <si>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</si>
  <si>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</si>
  <si>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</si>
  <si>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</si>
  <si>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</si>
  <si>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</si>
  <si>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</si>
  <si>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</si>
  <si>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</si>
  <si>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</si>
  <si>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</si>
  <si>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</si>
  <si>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</si>
  <si>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</si>
  <si>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</si>
  <si>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</si>
  <si>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</si>
  <si>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</si>
  <si>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</si>
  <si>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</si>
  <si>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</si>
  <si>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</si>
  <si>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</si>
  <si>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</si>
  <si>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</si>
  <si>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</si>
  <si>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</si>
  <si>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</si>
  <si>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</si>
  <si>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</si>
  <si>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</si>
  <si>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</si>
  <si>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</si>
  <si>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</si>
  <si>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</si>
  <si>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</si>
  <si>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</si>
  <si>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</si>
  <si>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</si>
  <si>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</si>
  <si>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</si>
  <si>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</si>
  <si>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</si>
  <si>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</si>
  <si>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</si>
  <si>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</si>
  <si>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</si>
  <si>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</si>
  <si>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</si>
  <si>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</si>
  <si>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</si>
  <si>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</si>
  <si>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</si>
  <si>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</si>
  <si>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</si>
  <si>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</si>
  <si>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</si>
  <si>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</si>
  <si>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</si>
  <si>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</si>
  <si>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</si>
  <si>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</si>
  <si>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</si>
  <si>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</si>
  <si>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</si>
  <si>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</si>
  <si>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</si>
  <si>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</si>
  <si>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</si>
  <si>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</si>
  <si>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</si>
  <si>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</si>
  <si>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</si>
  <si>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</si>
  <si>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</si>
  <si>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</si>
  <si>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</si>
  <si>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</si>
  <si>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</si>
  <si>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</si>
  <si>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</si>
  <si>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</si>
  <si>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</si>
  <si>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</si>
  <si>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</si>
  <si>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</si>
  <si>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</si>
  <si>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</si>
  <si>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</si>
  <si>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</si>
  <si>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</si>
  <si>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</si>
  <si>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</si>
  <si>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</si>
  <si>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</si>
  <si>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</si>
  <si>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</si>
  <si>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</si>
  <si>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</si>
  <si>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</si>
  <si>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</si>
  <si>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</si>
  <si>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</si>
  <si>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</si>
  <si>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</si>
  <si>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</si>
  <si>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</si>
  <si>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</si>
  <si>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</si>
  <si>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</si>
  <si>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</si>
  <si>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</si>
  <si>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</si>
  <si>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경기도 부천 은하마을 주공1단지아파트-3차</t>
  </si>
  <si>
    <t>OTIS HIX-A201 돌출형</t>
  </si>
  <si>
    <t>김운호</t>
  </si>
  <si>
    <t>사급 VB 1.2T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</si>
</sst>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fo">
    <tabColor rgb="FFFFFF00"/>
  </sheetPr>
  <dimension ref="A1:L26"/>
  <sheetViews>
    <sheetView workbookViewId="0">
      <selection activeCell="B8" sqref="B8"/>
    </sheetView>
  </sheetViews>
  <sheetFormatPr defaultRowHeight="16.5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>
      <c r="A1" s="148" t="s">
        <v>37</v>
      </c>
      <c r="B1" s="117" t="s">
        <v>335</v>
      </c>
    </row>
    <row r="2" spans="1:12" ht="20.25" customHeight="1">
      <c r="A2" s="149" t="s">
        <v>36</v>
      </c>
      <c r="B2" s="39" t="str">
        <f>"(와이드) 실측서 ( " &amp; B1 &amp; " ) _"&amp;소장 &amp;"소장"</f>
        <v>(와이드) 실측서 ( 경기도 부천 은하마을 주공1단지아파트-3차 ) _김운호소장</v>
      </c>
      <c r="C2" s="39" t="str">
        <f>"(와이드) 제작변환 자료( "&amp;B1&amp;" ) _"&amp;소장 &amp;"소장"</f>
        <v>(와이드) 제작변환 자료( 경기도 부천 은하마을 주공1단지아파트-3차 ) _김운호소장</v>
      </c>
      <c r="D2" s="154" t="s">
        <v>318</v>
      </c>
      <c r="E2" s="150" t="str">
        <f>"(SO와이드) 실측서 ( " &amp; B1 &amp; " ) _"&amp;소장 &amp;"소장"</f>
        <v>(SO와이드) 실측서 ( 경기도 부천 은하마을 주공1단지아파트-3차 ) _김운호소장</v>
      </c>
      <c r="F2" s="150" t="str">
        <f>"(SO와이드) 제작변환 ( " &amp; B1 &amp; " ) _"&amp;소장 &amp;"소장"</f>
        <v>(SO와이드) 제작변환 ( 경기도 부천 은하마을 주공1단지아파트-3차 ) _김운호소장</v>
      </c>
      <c r="G2" s="152" t="s">
        <v>320</v>
      </c>
      <c r="H2" s="147" t="str">
        <f>"(4CO와이드) 실측서 ( " &amp; B1 &amp; " ) _"&amp;소장 &amp;"소장"</f>
        <v>(4CO와이드) 실측서 ( 경기도 부천 은하마을 주공1단지아파트-3차 ) _김운호소장</v>
      </c>
      <c r="I2" s="147" t="str">
        <f>"(4CO와이드) 제작변환 ( " &amp; B1 &amp; " ) _"&amp;소장 &amp;"소장"</f>
        <v>(4CO와이드) 제작변환 ( 경기도 부천 은하마을 주공1단지아파트-3차 ) _김운호소장</v>
      </c>
      <c r="J2" s="152" t="s">
        <v>322</v>
      </c>
      <c r="K2" s="153" t="str">
        <f>"(2UP) 실측서 ( " &amp; B1 &amp; " ) _"&amp;소장 &amp;"소장"</f>
        <v>(2UP) 실측서 ( 경기도 부천 은하마을 주공1단지아파트-3차 ) _김운호소장</v>
      </c>
      <c r="L2" s="153" t="str">
        <f>"(2UP) 제작변환 ( " &amp; B1 &amp; " ) _"&amp;소장 &amp;"소장"</f>
        <v>(2UP) 제작변환 ( 경기도 부천 은하마을 주공1단지아파트-3차 ) _김운호소장</v>
      </c>
    </row>
    <row r="3" spans="1:12" ht="20.25" customHeight="1">
      <c r="A3" s="149" t="s">
        <v>38</v>
      </c>
      <c r="B3" s="39" t="str">
        <f>"(멍텅구리) 실측서 ( " &amp; B1 &amp; " ) _"&amp;소장 &amp;"소장"</f>
        <v>(멍텅구리) 실측서 ( 경기도 부천 은하마을 주공1단지아파트-3차 ) _김운호소장</v>
      </c>
      <c r="C3" s="39" t="str">
        <f>"(멍텅구리) 제작변환 자료( "&amp;B1&amp;" ) _"&amp;소장 &amp;"소장"</f>
        <v>(멍텅구리) 제작변환 자료( 경기도 부천 은하마을 주공1단지아파트-3차 ) _김운호소장</v>
      </c>
      <c r="D3" s="154" t="s">
        <v>319</v>
      </c>
      <c r="E3" s="150" t="str">
        <f>"(SO멍텅구리) 실측서 ( " &amp; B1 &amp; " ) _"&amp;소장 &amp;"소장"</f>
        <v>(SO멍텅구리) 실측서 ( 경기도 부천 은하마을 주공1단지아파트-3차 ) _김운호소장</v>
      </c>
      <c r="F3" s="150" t="str">
        <f>"(SO멍텅구리) 제작변환 ( " &amp; B1 &amp; " ) _"&amp;소장 &amp;"소장"</f>
        <v>(SO멍텅구리) 제작변환 ( 경기도 부천 은하마을 주공1단지아파트-3차 ) _김운호소장</v>
      </c>
      <c r="G3" s="152" t="s">
        <v>321</v>
      </c>
      <c r="H3" s="147" t="str">
        <f>"(4CO멍텅구리) 실측서 ( " &amp; B1 &amp; " ) _"&amp;소장 &amp;"소장"</f>
        <v>(4CO멍텅구리) 실측서 ( 경기도 부천 은하마을 주공1단지아파트-3차 ) _김운호소장</v>
      </c>
      <c r="I3" s="147" t="str">
        <f>"(4CO멍텅구리) 제작변환 ( " &amp; B1 &amp; " ) _"&amp;소장 &amp;"소장"</f>
        <v>(4CO멍텅구리) 제작변환 ( 경기도 부천 은하마을 주공1단지아파트-3차 ) _김운호소장</v>
      </c>
      <c r="J3" s="152" t="s">
        <v>323</v>
      </c>
      <c r="K3" s="153" t="str">
        <f>"(3UP) 실측서 ( " &amp; B1 &amp; " ) _"&amp;소장 &amp;"소장"</f>
        <v>(3UP) 실측서 ( 경기도 부천 은하마을 주공1단지아파트-3차 ) _김운호소장</v>
      </c>
      <c r="L3" s="153" t="str">
        <f>"(3UP) 제작변환 ( " &amp; B1 &amp; " ) _"&amp;소장 &amp;"소장"</f>
        <v>(3UP) 제작변환 ( 경기도 부천 은하마을 주공1단지아파트-3차 ) _김운호소장</v>
      </c>
    </row>
    <row r="4" spans="1:12" ht="20.25" customHeight="1">
      <c r="A4" s="149" t="s">
        <v>39</v>
      </c>
      <c r="B4" s="39" t="str">
        <f>"(쪽쟘) 실측서 ( " &amp; B1 &amp; " ) _"&amp;소장 &amp;"소장"</f>
        <v>(쪽쟘) 실측서 ( 경기도 부천 은하마을 주공1단지아파트-3차 ) _김운호소장</v>
      </c>
      <c r="C4" s="39" t="str">
        <f>"(쪽쟘) 제작변환 자료( "&amp;B1&amp;" ) _"&amp;소장 &amp;"소장"</f>
        <v>(쪽쟘) 제작변환 자료( 경기도 부천 은하마을 주공1단지아파트-3차 ) _김운호소장</v>
      </c>
      <c r="D4" s="151"/>
      <c r="E4" s="151"/>
      <c r="F4" s="151"/>
      <c r="G4" s="151"/>
    </row>
    <row r="5" spans="1:12" ht="84" customHeight="1">
      <c r="A5" s="1" t="s">
        <v>292</v>
      </c>
      <c r="B5" s="69" t="s">
        <v>336</v>
      </c>
      <c r="D5" s="145" t="s">
        <v>324</v>
      </c>
    </row>
    <row r="6" spans="1:12" ht="27.75" customHeight="1">
      <c r="A6" s="144" t="s">
        <v>40</v>
      </c>
      <c r="B6" s="146" t="s">
        <v>337</v>
      </c>
    </row>
    <row r="7" spans="1:12" ht="16.5" customHeight="1">
      <c r="A7" s="72" t="s">
        <v>193</v>
      </c>
      <c r="B7" s="118" t="s">
        <v>338</v>
      </c>
    </row>
    <row r="8" spans="1:12" ht="16.5" customHeight="1">
      <c r="A8" s="76" t="s">
        <v>194</v>
      </c>
      <c r="B8" s="118" t="s">
        <v>293</v>
      </c>
    </row>
    <row r="9" spans="1:12" ht="16.5" customHeight="1">
      <c r="A9" s="71" t="s">
        <v>195</v>
      </c>
      <c r="B9" s="118" t="s">
        <v>293</v>
      </c>
    </row>
    <row r="10" spans="1:12" ht="16.5" customHeight="1">
      <c r="A10" s="89" t="s">
        <v>196</v>
      </c>
      <c r="B10" s="170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(2), R - (0),  기둥차감 - (0), A + (1)</v>
      </c>
      <c r="C10" s="170"/>
    </row>
    <row r="11" spans="1:12" ht="16.5" customHeight="1">
      <c r="A11" s="90" t="s">
        <v>197</v>
      </c>
      <c r="B11" s="170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70"/>
    </row>
    <row r="12" spans="1:12" ht="16.5" customHeight="1">
      <c r="A12" s="90" t="s">
        <v>198</v>
      </c>
      <c r="B12" s="170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70"/>
    </row>
    <row r="13" spans="1:12" ht="16.5" customHeight="1">
      <c r="A13" s="90" t="s">
        <v>251</v>
      </c>
      <c r="B13" s="170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70"/>
    </row>
    <row r="14" spans="1:12" ht="16.5" customHeight="1">
      <c r="A14" s="90" t="s">
        <v>252</v>
      </c>
      <c r="B14" s="170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70"/>
    </row>
    <row r="15" spans="1:12" ht="16.5" customHeight="1">
      <c r="A15" s="90" t="s">
        <v>257</v>
      </c>
      <c r="B15" s="170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(2), R - (0),  기둥차감 - (0), A + (1)</v>
      </c>
      <c r="C15" s="170"/>
    </row>
    <row r="16" spans="1:12" ht="16.5" customHeight="1">
      <c r="A16" s="90" t="s">
        <v>258</v>
      </c>
      <c r="B16" s="170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(2), R - (0),  기둥차감 - (0), A + (1)</v>
      </c>
      <c r="C16" s="170"/>
    </row>
    <row r="17" spans="1:3" ht="16.5" customHeight="1">
      <c r="A17" s="90" t="s">
        <v>272</v>
      </c>
      <c r="B17" s="170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(2), R - (0),  기둥차감 - (0), A + (1)</v>
      </c>
      <c r="C17" s="170"/>
    </row>
    <row r="18" spans="1:3" ht="16.5" customHeight="1">
      <c r="A18" s="90" t="s">
        <v>273</v>
      </c>
      <c r="B18" s="170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(2), R - (0),  기둥차감 - (0), A + (1)</v>
      </c>
      <c r="C18" s="170"/>
    </row>
    <row r="21" spans="1:3">
      <c r="B21" t="s">
        <v>271</v>
      </c>
    </row>
    <row r="23" spans="1:3" ht="37.5" customHeight="1">
      <c r="A23" s="22" t="s">
        <v>299</v>
      </c>
      <c r="B23" s="124" t="s">
        <v>310</v>
      </c>
    </row>
    <row r="26" spans="1: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data!$E$4:$E$14</xm:f>
          </x14:formula1>
          <xm:sqref>B6</xm:sqref>
        </x14:dataValidation>
        <x14:dataValidation type="list" showInputMessage="1" showErrorMessage="1">
          <x14:formula1>
            <xm:f>data!$D$3:$D$10</xm:f>
          </x14:formula1>
          <xm:sqref>B5</xm:sqref>
        </x14:dataValidation>
        <x14:dataValidation type="list" allowBlank="1" showInputMessage="1" showErrorMessage="1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16"/>
  <sheetViews>
    <sheetView workbookViewId="0">
      <selection activeCell="D5" sqref="D5"/>
    </sheetView>
  </sheetViews>
  <sheetFormatPr defaultRowHeight="16.5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경기도 부천 은하마을 주공1단지아파트-3차</v>
      </c>
      <c r="E2" s="3" t="str">
        <f>정보!B6</f>
        <v>김운호</v>
      </c>
      <c r="F2" s="3" t="str">
        <f>정보!B7</f>
        <v>사급 VB 1.2T</v>
      </c>
      <c r="G2" s="3" t="str">
        <f>정보!B8</f>
        <v>HL 1.2T</v>
      </c>
      <c r="H2" s="3" t="str">
        <f>정보!B9</f>
        <v>HL 1.2T</v>
      </c>
      <c r="I2" t="str">
        <f>정보!B5</f>
        <v>OTIS HIX-A201 돌출형</v>
      </c>
      <c r="J2" s="87">
        <f ca="1">TODAY()</f>
        <v>45272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/>
    <row r="4" spans="1:17" ht="60.75" customHeight="1">
      <c r="D4" t="s">
        <v>206</v>
      </c>
      <c r="E4" t="s">
        <v>217</v>
      </c>
    </row>
    <row r="5" spans="1:17" ht="60.75" customHeight="1">
      <c r="D5" t="s">
        <v>298</v>
      </c>
      <c r="E5" t="s">
        <v>218</v>
      </c>
      <c r="G5" t="s">
        <v>300</v>
      </c>
    </row>
    <row r="6" spans="1:17" ht="60.75" customHeight="1">
      <c r="D6" t="s">
        <v>209</v>
      </c>
      <c r="E6" t="s">
        <v>219</v>
      </c>
      <c r="G6" t="s">
        <v>301</v>
      </c>
    </row>
    <row r="7" spans="1:17" ht="60.75" customHeight="1">
      <c r="D7" t="s">
        <v>210</v>
      </c>
      <c r="E7" t="s">
        <v>220</v>
      </c>
    </row>
    <row r="8" spans="1:17" ht="67.5" customHeight="1">
      <c r="D8" t="s">
        <v>211</v>
      </c>
      <c r="E8" t="s">
        <v>221</v>
      </c>
    </row>
    <row r="9" spans="1:17" ht="62.25" customHeight="1">
      <c r="D9" t="s">
        <v>291</v>
      </c>
      <c r="E9" t="s">
        <v>222</v>
      </c>
    </row>
    <row r="10" spans="1:17" ht="62.25" customHeight="1">
      <c r="D10" t="s">
        <v>216</v>
      </c>
      <c r="E10" t="s">
        <v>223</v>
      </c>
    </row>
    <row r="11" spans="1:17" ht="71.25" customHeight="1">
      <c r="E11" t="s">
        <v>224</v>
      </c>
    </row>
    <row r="12" spans="1:17" ht="62.25" customHeight="1">
      <c r="E12" t="s">
        <v>316</v>
      </c>
    </row>
    <row r="13" spans="1:17" ht="62.25" customHeight="1">
      <c r="E13" t="s">
        <v>302</v>
      </c>
    </row>
    <row r="14" spans="1:17" ht="62.25" customHeight="1">
      <c r="E14" t="s">
        <v>317</v>
      </c>
    </row>
    <row r="15" spans="1:17" ht="66.75" customHeight="1"/>
    <row r="16" spans="1:17" ht="60.75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sheet">
    <pageSetUpPr fitToPage="1"/>
  </sheetPr>
  <dimension ref="A1:AS27"/>
  <sheetViews>
    <sheetView zoomScale="85" zoomScaleNormal="85" workbookViewId="0">
      <selection activeCell="AH7" sqref="AH7:AJ9"/>
    </sheetView>
  </sheetViews>
  <sheetFormatPr defaultRowHeight="16.5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>
      <c r="A1" s="175" t="str">
        <f>정보!B2</f>
        <v>(와이드) 실측서 ( 경기도 부천 은하마을 주공1단지아파트-3차 ) _김운호소장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>
      <c r="A3" s="126" t="str">
        <f>"현장명 : " &amp; 정보!B1 &amp; ",   (재질) : " &amp; 정보!B7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83" t="s">
        <v>98</v>
      </c>
      <c r="M3" s="18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>
      <c r="A4" s="172" t="str">
        <f>정보!B10</f>
        <v>제작치수 반영 : MH + (2), JB/JD +(3 ),  늘어난치수K -(3),  C + (0),   U + (0), OP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82" t="s">
        <v>215</v>
      </c>
      <c r="AF4" s="182"/>
      <c r="AG4" s="75"/>
      <c r="AH4" s="9"/>
      <c r="AI4" s="9"/>
      <c r="AJ4" s="9"/>
    </row>
    <row r="5" spans="1:45" ht="25.9" customHeight="1">
      <c r="A5" s="184" t="s">
        <v>0</v>
      </c>
      <c r="B5" s="176" t="s">
        <v>1</v>
      </c>
      <c r="C5" s="176" t="s">
        <v>2</v>
      </c>
      <c r="D5" s="176" t="s">
        <v>24</v>
      </c>
      <c r="E5" s="176" t="s">
        <v>3</v>
      </c>
      <c r="F5" s="176" t="s">
        <v>18</v>
      </c>
      <c r="G5" s="176" t="s">
        <v>4</v>
      </c>
      <c r="H5" s="176" t="s">
        <v>5</v>
      </c>
      <c r="I5" s="176" t="s">
        <v>6</v>
      </c>
      <c r="J5" s="176" t="s">
        <v>7</v>
      </c>
      <c r="K5" s="176" t="s">
        <v>47</v>
      </c>
      <c r="L5" s="176" t="s">
        <v>9</v>
      </c>
      <c r="M5" s="176" t="s">
        <v>12</v>
      </c>
      <c r="N5" s="176" t="s">
        <v>13</v>
      </c>
      <c r="O5" s="176" t="s">
        <v>10</v>
      </c>
      <c r="P5" s="176" t="s">
        <v>11</v>
      </c>
      <c r="Q5" s="176" t="s">
        <v>14</v>
      </c>
      <c r="R5" s="176" t="s">
        <v>15</v>
      </c>
      <c r="S5" s="176" t="s">
        <v>16</v>
      </c>
      <c r="T5" s="176" t="s">
        <v>17</v>
      </c>
      <c r="U5" s="176" t="s">
        <v>19</v>
      </c>
      <c r="V5" s="177" t="s">
        <v>48</v>
      </c>
      <c r="W5" s="177" t="s">
        <v>22</v>
      </c>
      <c r="X5" s="177" t="s">
        <v>23</v>
      </c>
      <c r="Y5" s="176" t="s">
        <v>21</v>
      </c>
      <c r="Z5" s="176"/>
      <c r="AA5" s="176"/>
      <c r="AB5" s="176"/>
      <c r="AC5" s="178" t="s">
        <v>91</v>
      </c>
      <c r="AD5" s="178" t="s">
        <v>92</v>
      </c>
      <c r="AE5" s="180" t="s">
        <v>212</v>
      </c>
      <c r="AF5" s="181"/>
      <c r="AG5" s="177" t="s">
        <v>199</v>
      </c>
      <c r="AH5" s="177" t="s">
        <v>203</v>
      </c>
      <c r="AI5" s="177"/>
      <c r="AJ5" s="177"/>
    </row>
    <row r="6" spans="1:45" ht="44.25" customHeight="1">
      <c r="A6" s="184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7"/>
      <c r="X6" s="177"/>
      <c r="Y6" s="8" t="s">
        <v>43</v>
      </c>
      <c r="Z6" s="8" t="s">
        <v>44</v>
      </c>
      <c r="AA6" s="8" t="s">
        <v>45</v>
      </c>
      <c r="AB6" s="8" t="s">
        <v>46</v>
      </c>
      <c r="AC6" s="179"/>
      <c r="AD6" s="179"/>
      <c r="AE6" s="74" t="s">
        <v>213</v>
      </c>
      <c r="AF6" s="74" t="s">
        <v>214</v>
      </c>
      <c r="AG6" s="176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>
      <c r="A7" s="127">
        <v>524</v>
      </c>
      <c r="B7" s="4">
        <v>1</v>
      </c>
      <c r="C7" s="4">
        <v>263</v>
      </c>
      <c r="D7" s="4">
        <v>263</v>
      </c>
      <c r="E7" s="4">
        <v>994</v>
      </c>
      <c r="F7" s="4">
        <v>1083</v>
      </c>
      <c r="G7" s="4">
        <v>257</v>
      </c>
      <c r="H7" s="4">
        <v>257</v>
      </c>
      <c r="I7" s="4">
        <v>274</v>
      </c>
      <c r="J7" s="4">
        <v>274</v>
      </c>
      <c r="K7" s="13">
        <v>45</v>
      </c>
      <c r="L7" s="13">
        <v>45</v>
      </c>
      <c r="M7" s="4">
        <v>12</v>
      </c>
      <c r="N7" s="4">
        <v>12</v>
      </c>
      <c r="O7" s="4">
        <v>11</v>
      </c>
      <c r="P7" s="4">
        <v>10</v>
      </c>
      <c r="Q7" s="4">
        <v>2090</v>
      </c>
      <c r="R7" s="4">
        <v>2085</v>
      </c>
      <c r="S7" s="4">
        <v>2098</v>
      </c>
      <c r="T7" s="4">
        <v>2084</v>
      </c>
      <c r="U7" s="4">
        <v>40</v>
      </c>
      <c r="V7" s="4">
        <v>1</v>
      </c>
      <c r="W7" s="4">
        <v>30</v>
      </c>
      <c r="X7" s="4">
        <v>30</v>
      </c>
      <c r="Y7" s="4">
        <v>38</v>
      </c>
      <c r="Z7" s="4">
        <v>35</v>
      </c>
      <c r="AA7" s="4">
        <v>42</v>
      </c>
      <c r="AB7" s="4">
        <v>63</v>
      </c>
      <c r="AC7" s="4"/>
      <c r="AD7" s="4"/>
      <c r="AE7" s="4"/>
      <c r="AF7" s="4"/>
      <c r="AG7" s="4">
        <v>100</v>
      </c>
      <c r="AH7" s="4">
        <v>20</v>
      </c>
      <c r="AI7" s="4">
        <v>10</v>
      </c>
      <c r="AJ7" s="4">
        <v>20</v>
      </c>
      <c r="AK7" s="53"/>
      <c r="AL7" s="3">
        <f>Y7+$AK7</f>
        <v>38</v>
      </c>
      <c r="AM7" s="3">
        <f>Z7+$AK7</f>
        <v>35</v>
      </c>
      <c r="AN7" s="3">
        <f>AA7+$AK7</f>
        <v>42</v>
      </c>
      <c r="AO7" s="3">
        <f>AB7+$AK7</f>
        <v>63</v>
      </c>
      <c r="AP7" s="3">
        <f>G7-$AK7</f>
        <v>257</v>
      </c>
      <c r="AQ7" s="3">
        <f>H7-$AK7</f>
        <v>257</v>
      </c>
      <c r="AR7" s="3">
        <f>I7-$AK7</f>
        <v>274</v>
      </c>
      <c r="AS7" s="3">
        <f>J7-$AK7</f>
        <v>274</v>
      </c>
    </row>
    <row r="8" spans="1:45" ht="23.25" customHeight="1">
      <c r="A8" s="127">
        <v>525</v>
      </c>
      <c r="B8" s="4">
        <v>1</v>
      </c>
      <c r="C8" s="4">
        <v>258</v>
      </c>
      <c r="D8" s="4">
        <v>258</v>
      </c>
      <c r="E8" s="4">
        <v>893</v>
      </c>
      <c r="F8" s="4">
        <v>992</v>
      </c>
      <c r="G8" s="4">
        <v>285</v>
      </c>
      <c r="H8" s="4">
        <v>285</v>
      </c>
      <c r="I8" s="4">
        <v>302</v>
      </c>
      <c r="J8" s="4">
        <v>302</v>
      </c>
      <c r="K8" s="13">
        <v>45</v>
      </c>
      <c r="L8" s="13">
        <v>45</v>
      </c>
      <c r="M8" s="4">
        <v>12</v>
      </c>
      <c r="N8" s="4">
        <v>12</v>
      </c>
      <c r="O8" s="4">
        <v>11</v>
      </c>
      <c r="P8" s="4">
        <v>8</v>
      </c>
      <c r="Q8" s="4">
        <v>2100</v>
      </c>
      <c r="R8" s="4">
        <v>2087</v>
      </c>
      <c r="S8" s="4">
        <v>2102</v>
      </c>
      <c r="T8" s="4">
        <v>2086</v>
      </c>
      <c r="U8" s="4">
        <v>40</v>
      </c>
      <c r="V8" s="4">
        <v>1</v>
      </c>
      <c r="W8" s="4">
        <v>30</v>
      </c>
      <c r="X8" s="4">
        <v>30</v>
      </c>
      <c r="Y8" s="4">
        <v>34</v>
      </c>
      <c r="Z8" s="4">
        <v>36</v>
      </c>
      <c r="AA8" s="4">
        <v>35</v>
      </c>
      <c r="AB8" s="4">
        <v>39</v>
      </c>
      <c r="AC8" s="4"/>
      <c r="AD8" s="4"/>
      <c r="AE8" s="4"/>
      <c r="AF8" s="4"/>
      <c r="AG8" s="4">
        <v>100</v>
      </c>
      <c r="AH8" s="4">
        <v>20</v>
      </c>
      <c r="AI8" s="4">
        <v>10</v>
      </c>
      <c r="AJ8" s="4">
        <v>20</v>
      </c>
      <c r="AK8" s="53"/>
      <c r="AL8" s="3">
        <f t="shared" ref="AL8" si="0">Y8+$AK8</f>
        <v>34</v>
      </c>
      <c r="AM8" s="3">
        <f>Z8+$AK8</f>
        <v>36</v>
      </c>
      <c r="AN8" s="3">
        <f>AA8+$AK8</f>
        <v>35</v>
      </c>
      <c r="AO8" s="3">
        <f>AB8+$AK8</f>
        <v>39</v>
      </c>
      <c r="AP8" s="3">
        <f t="shared" ref="AP8" si="1">G8-$AK8</f>
        <v>285</v>
      </c>
      <c r="AQ8" s="3">
        <f>H8-$AK8</f>
        <v>285</v>
      </c>
      <c r="AR8" s="3">
        <f>I8-$AK8</f>
        <v>302</v>
      </c>
      <c r="AS8" s="3">
        <f>J8-$AK8</f>
        <v>302</v>
      </c>
    </row>
    <row r="9" spans="1:45" ht="23.25" customHeight="1">
      <c r="A9" s="127">
        <v>528</v>
      </c>
      <c r="B9" s="4">
        <v>1</v>
      </c>
      <c r="C9" s="4">
        <v>264</v>
      </c>
      <c r="D9" s="4">
        <v>264</v>
      </c>
      <c r="E9" s="4">
        <v>892</v>
      </c>
      <c r="F9" s="4">
        <v>987</v>
      </c>
      <c r="G9" s="4">
        <v>266</v>
      </c>
      <c r="H9" s="4">
        <v>266</v>
      </c>
      <c r="I9" s="4">
        <v>282</v>
      </c>
      <c r="J9" s="4">
        <v>282</v>
      </c>
      <c r="K9" s="13">
        <v>45</v>
      </c>
      <c r="L9" s="13">
        <v>45</v>
      </c>
      <c r="M9" s="4">
        <v>12</v>
      </c>
      <c r="N9" s="4">
        <v>12</v>
      </c>
      <c r="O9" s="4">
        <v>13</v>
      </c>
      <c r="P9" s="4">
        <v>13</v>
      </c>
      <c r="Q9" s="4">
        <v>2108</v>
      </c>
      <c r="R9" s="4">
        <v>2090</v>
      </c>
      <c r="S9" s="4">
        <v>2100</v>
      </c>
      <c r="T9" s="4">
        <v>2088</v>
      </c>
      <c r="U9" s="4">
        <v>40</v>
      </c>
      <c r="V9" s="4">
        <v>1</v>
      </c>
      <c r="W9" s="4">
        <v>30</v>
      </c>
      <c r="X9" s="4">
        <v>30</v>
      </c>
      <c r="Y9" s="4">
        <v>35</v>
      </c>
      <c r="Z9" s="4">
        <v>38</v>
      </c>
      <c r="AA9" s="4">
        <v>44</v>
      </c>
      <c r="AB9" s="4">
        <v>44</v>
      </c>
      <c r="AC9" s="4"/>
      <c r="AD9" s="4"/>
      <c r="AE9" s="4"/>
      <c r="AF9" s="4"/>
      <c r="AG9" s="4">
        <v>100</v>
      </c>
      <c r="AH9" s="4">
        <v>20</v>
      </c>
      <c r="AI9" s="4">
        <v>10</v>
      </c>
      <c r="AJ9" s="4">
        <v>20</v>
      </c>
    </row>
    <row r="10" spans="1:45" ht="23.25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make">
    <tabColor rgb="FF00B050"/>
    <pageSetUpPr fitToPage="1"/>
  </sheetPr>
  <dimension ref="A1:BI9"/>
  <sheetViews>
    <sheetView zoomScale="85" zoomScaleNormal="85" workbookViewId="0">
      <selection activeCell="T17" sqref="T17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>
      <c r="A1" s="185" t="str">
        <f>정보!C2</f>
        <v>(와이드) 제작변환 자료( 경기도 부천 은하마을 주공1단지아파트-3차 ) _김운호소장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5"/>
      <c r="AR1" s="185"/>
      <c r="AS1" s="37"/>
      <c r="AT1" s="37"/>
    </row>
    <row r="2" spans="1:61" ht="29.25" customHeight="1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26" t="s">
        <v>113</v>
      </c>
      <c r="J2" s="227"/>
      <c r="K2" s="227"/>
      <c r="L2" s="227"/>
      <c r="M2" s="228">
        <v>1</v>
      </c>
      <c r="N2" s="228"/>
      <c r="O2" s="198" t="s">
        <v>89</v>
      </c>
      <c r="P2" s="199"/>
      <c r="Q2" s="200">
        <v>0</v>
      </c>
      <c r="R2" s="200"/>
      <c r="S2" s="176" t="s">
        <v>83</v>
      </c>
      <c r="T2" s="202"/>
      <c r="U2" s="202"/>
      <c r="V2" s="203">
        <v>0</v>
      </c>
      <c r="W2" s="203"/>
      <c r="X2" s="221" t="s">
        <v>205</v>
      </c>
      <c r="Y2" s="222"/>
      <c r="Z2" s="225" t="str">
        <f>정보!B5</f>
        <v>OTIS HIX-A201 돌출형</v>
      </c>
      <c r="AA2" s="225"/>
      <c r="AB2" s="225"/>
      <c r="AC2" s="225"/>
      <c r="AD2" s="225"/>
      <c r="AE2" s="225"/>
      <c r="AF2" s="225"/>
      <c r="AG2" s="225"/>
      <c r="AH2" s="223" t="s">
        <v>90</v>
      </c>
      <c r="AI2" s="224"/>
      <c r="AJ2" s="235">
        <v>3</v>
      </c>
      <c r="AK2" s="235"/>
      <c r="AL2" s="1"/>
      <c r="AM2" s="190" t="s">
        <v>229</v>
      </c>
      <c r="AN2" s="232"/>
      <c r="AO2" s="233">
        <v>0</v>
      </c>
      <c r="AP2" s="233"/>
      <c r="AQ2" s="1"/>
      <c r="AR2" s="1"/>
    </row>
    <row r="3" spans="1:61" ht="24.75" customHeight="1">
      <c r="A3" s="28" t="str">
        <f>'와이드(실측)'!A3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198" t="s">
        <v>228</v>
      </c>
      <c r="J3" s="198"/>
      <c r="K3" s="198"/>
      <c r="L3" s="198"/>
      <c r="M3" s="229">
        <v>3</v>
      </c>
      <c r="N3" s="229"/>
      <c r="O3" s="199" t="s">
        <v>77</v>
      </c>
      <c r="P3" s="199"/>
      <c r="Q3" s="206">
        <v>0</v>
      </c>
      <c r="R3" s="206"/>
      <c r="S3" s="207" t="s">
        <v>227</v>
      </c>
      <c r="T3" s="207"/>
      <c r="U3" s="207"/>
      <c r="V3" s="208">
        <f>BI7</f>
        <v>0</v>
      </c>
      <c r="W3" s="208"/>
      <c r="X3" s="201" t="s">
        <v>78</v>
      </c>
      <c r="Y3" s="201"/>
      <c r="Z3" s="209">
        <v>1</v>
      </c>
      <c r="AA3" s="209"/>
      <c r="AC3" s="210" t="s">
        <v>311</v>
      </c>
      <c r="AD3" s="210"/>
      <c r="AE3" s="210">
        <f>'와이드(실측)'!Y7</f>
        <v>38</v>
      </c>
      <c r="AF3" s="210"/>
      <c r="AG3" s="3"/>
      <c r="AH3" s="220" t="s">
        <v>73</v>
      </c>
      <c r="AI3" s="220"/>
      <c r="AJ3" s="26">
        <v>4</v>
      </c>
      <c r="AK3" s="15" t="s">
        <v>74</v>
      </c>
      <c r="AL3" s="14">
        <v>4</v>
      </c>
      <c r="AM3" s="234" t="s">
        <v>230</v>
      </c>
      <c r="AN3" s="234"/>
      <c r="AO3" s="236" t="s">
        <v>325</v>
      </c>
      <c r="AP3" s="237"/>
      <c r="AQ3" s="240">
        <f>AU7</f>
        <v>9.9262455066517052</v>
      </c>
      <c r="AR3" s="241"/>
      <c r="BI3" s="186" t="s">
        <v>253</v>
      </c>
    </row>
    <row r="4" spans="1:61" ht="33" customHeight="1">
      <c r="A4" s="211" t="str">
        <f>정보!B10</f>
        <v>제작치수 반영 : MH + (2), JB/JD +(3 ),  늘어난치수K -(3),  C + (0),   U + (0), OP - (2), R - (0),  기둥차감 - (0), A + (1)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1"/>
      <c r="Y4" s="211"/>
      <c r="Z4" s="211"/>
      <c r="AA4" s="211"/>
      <c r="AB4" s="211"/>
      <c r="AC4" s="211"/>
      <c r="AD4" s="211"/>
      <c r="AE4" s="211"/>
      <c r="AF4" s="211"/>
      <c r="AG4" s="231">
        <f ca="1">TODAY()</f>
        <v>45272</v>
      </c>
      <c r="AH4" s="171"/>
      <c r="AI4" s="171"/>
      <c r="AJ4" s="9"/>
      <c r="AK4" s="230" t="s">
        <v>117</v>
      </c>
      <c r="AL4" s="230"/>
      <c r="AM4" s="182" t="s">
        <v>215</v>
      </c>
      <c r="AN4" s="182"/>
      <c r="AO4" s="84"/>
      <c r="AP4" s="238" t="s">
        <v>235</v>
      </c>
      <c r="AQ4" s="238"/>
      <c r="AR4" s="239"/>
      <c r="BI4" s="187"/>
    </row>
    <row r="5" spans="1:61" ht="25.9" customHeight="1">
      <c r="A5" s="176" t="s">
        <v>0</v>
      </c>
      <c r="B5" s="176" t="s">
        <v>1</v>
      </c>
      <c r="C5" s="176" t="s">
        <v>2</v>
      </c>
      <c r="D5" s="176" t="s">
        <v>2</v>
      </c>
      <c r="E5" s="176" t="s">
        <v>3</v>
      </c>
      <c r="F5" s="176" t="s">
        <v>18</v>
      </c>
      <c r="G5" s="176" t="s">
        <v>41</v>
      </c>
      <c r="H5" s="176" t="s">
        <v>42</v>
      </c>
      <c r="I5" s="212" t="s">
        <v>105</v>
      </c>
      <c r="J5" s="212" t="s">
        <v>106</v>
      </c>
      <c r="K5" s="216" t="s">
        <v>107</v>
      </c>
      <c r="L5" s="216" t="s">
        <v>108</v>
      </c>
      <c r="M5" s="218" t="s">
        <v>71</v>
      </c>
      <c r="N5" s="218" t="s">
        <v>72</v>
      </c>
      <c r="O5" s="176" t="s">
        <v>8</v>
      </c>
      <c r="P5" s="176" t="s">
        <v>9</v>
      </c>
      <c r="Q5" s="176" t="s">
        <v>12</v>
      </c>
      <c r="R5" s="176" t="s">
        <v>13</v>
      </c>
      <c r="S5" s="176" t="s">
        <v>10</v>
      </c>
      <c r="T5" s="176" t="s">
        <v>11</v>
      </c>
      <c r="U5" s="214" t="s">
        <v>14</v>
      </c>
      <c r="V5" s="214" t="s">
        <v>15</v>
      </c>
      <c r="W5" s="215" t="s">
        <v>16</v>
      </c>
      <c r="X5" s="215" t="s">
        <v>17</v>
      </c>
      <c r="Y5" s="176" t="s">
        <v>19</v>
      </c>
      <c r="Z5" s="176" t="s">
        <v>20</v>
      </c>
      <c r="AA5" s="177" t="s">
        <v>22</v>
      </c>
      <c r="AB5" s="177" t="s">
        <v>23</v>
      </c>
      <c r="AC5" s="204" t="s">
        <v>79</v>
      </c>
      <c r="AD5" s="205"/>
      <c r="AE5" s="205"/>
      <c r="AF5" s="205"/>
      <c r="AG5" s="196" t="s">
        <v>91</v>
      </c>
      <c r="AH5" s="196" t="s">
        <v>92</v>
      </c>
      <c r="AI5" s="188" t="s">
        <v>99</v>
      </c>
      <c r="AJ5" s="177" t="s">
        <v>61</v>
      </c>
      <c r="AK5" s="177" t="s">
        <v>34</v>
      </c>
      <c r="AL5" s="177" t="s">
        <v>35</v>
      </c>
      <c r="AM5" s="180" t="s">
        <v>212</v>
      </c>
      <c r="AN5" s="181"/>
      <c r="AO5" s="244" t="s">
        <v>199</v>
      </c>
      <c r="AP5" s="244" t="s">
        <v>204</v>
      </c>
      <c r="AQ5" s="244"/>
      <c r="AR5" s="244"/>
      <c r="AS5" s="186" t="s">
        <v>100</v>
      </c>
      <c r="AT5" s="186" t="s">
        <v>101</v>
      </c>
      <c r="AU5" s="187" t="s">
        <v>80</v>
      </c>
      <c r="AV5" s="191" t="s">
        <v>84</v>
      </c>
      <c r="AW5" s="194" t="s">
        <v>102</v>
      </c>
      <c r="AX5" s="193" t="s">
        <v>94</v>
      </c>
      <c r="AY5" s="193" t="s">
        <v>95</v>
      </c>
      <c r="AZ5" s="186" t="s">
        <v>93</v>
      </c>
      <c r="BC5" s="190" t="s">
        <v>28</v>
      </c>
      <c r="BD5" s="190"/>
      <c r="BE5" s="190" t="s">
        <v>29</v>
      </c>
      <c r="BF5" s="190"/>
      <c r="BG5" s="6" t="s">
        <v>50</v>
      </c>
      <c r="BH5" s="243" t="s">
        <v>104</v>
      </c>
      <c r="BI5" s="242" t="s">
        <v>226</v>
      </c>
    </row>
    <row r="6" spans="1:61" ht="48" customHeight="1">
      <c r="A6" s="176"/>
      <c r="B6" s="176"/>
      <c r="C6" s="176"/>
      <c r="D6" s="176"/>
      <c r="E6" s="176"/>
      <c r="F6" s="176"/>
      <c r="G6" s="176"/>
      <c r="H6" s="176"/>
      <c r="I6" s="213"/>
      <c r="J6" s="213"/>
      <c r="K6" s="217"/>
      <c r="L6" s="217"/>
      <c r="M6" s="219"/>
      <c r="N6" s="219"/>
      <c r="O6" s="176"/>
      <c r="P6" s="176"/>
      <c r="Q6" s="176"/>
      <c r="R6" s="176"/>
      <c r="S6" s="176"/>
      <c r="T6" s="176"/>
      <c r="U6" s="214"/>
      <c r="V6" s="214"/>
      <c r="W6" s="215"/>
      <c r="X6" s="215"/>
      <c r="Y6" s="176"/>
      <c r="Z6" s="176"/>
      <c r="AA6" s="177"/>
      <c r="AB6" s="177"/>
      <c r="AC6" s="8" t="s">
        <v>67</v>
      </c>
      <c r="AD6" s="8" t="s">
        <v>68</v>
      </c>
      <c r="AE6" s="8" t="s">
        <v>69</v>
      </c>
      <c r="AF6" s="8" t="s">
        <v>70</v>
      </c>
      <c r="AG6" s="197"/>
      <c r="AH6" s="197"/>
      <c r="AI6" s="189"/>
      <c r="AJ6" s="177"/>
      <c r="AK6" s="176"/>
      <c r="AL6" s="176"/>
      <c r="AM6" s="74" t="s">
        <v>213</v>
      </c>
      <c r="AN6" s="74" t="s">
        <v>214</v>
      </c>
      <c r="AO6" s="245"/>
      <c r="AP6" s="109" t="s">
        <v>200</v>
      </c>
      <c r="AQ6" s="109" t="s">
        <v>201</v>
      </c>
      <c r="AR6" s="109" t="s">
        <v>202</v>
      </c>
      <c r="AS6" s="187"/>
      <c r="AT6" s="187"/>
      <c r="AU6" s="187"/>
      <c r="AV6" s="192"/>
      <c r="AW6" s="195"/>
      <c r="AX6" s="193"/>
      <c r="AY6" s="193"/>
      <c r="AZ6" s="187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43"/>
      <c r="BI6" s="242"/>
    </row>
    <row r="7" spans="1:61" ht="26.25" customHeight="1">
      <c r="A7" s="31">
        <f>'와이드(실측)'!A7</f>
        <v>524</v>
      </c>
      <c r="B7" s="31" t="str">
        <f>'와이드(실측)'!B7&amp;"F"</f>
        <v>1F</v>
      </c>
      <c r="C7" s="31">
        <f>'와이드(실측)'!C7+와이드MH더함-IF(AND(소장="추영덕",Y7=0),1.2)</f>
        <v>265</v>
      </c>
      <c r="D7" s="31">
        <f>'와이드(실측)'!D7+와이드MH더함-IF(AND(소장="추영덕",Y7=0),1.2)</f>
        <v>265</v>
      </c>
      <c r="E7" s="135">
        <f>'와이드(실측)'!E7-와이드OP</f>
        <v>992</v>
      </c>
      <c r="F7" s="31">
        <f>'와이드(실측)'!F7-와이드R</f>
        <v>1083</v>
      </c>
      <c r="G7" s="50">
        <f>'와이드(실측)'!G7+와이드JBJD키움치수+IF(BI7=1,AC7,0)</f>
        <v>260</v>
      </c>
      <c r="H7" s="50">
        <f>'와이드(실측)'!H7+와이드JBJD키움치수+IF(BI7=1,AE7,0)</f>
        <v>260</v>
      </c>
      <c r="I7" s="50">
        <f>'와이드(실측)'!I7+MAX(AS7,AT7)+와이드JBJD키움치수+IF(BI7=1,AC7,0)</f>
        <v>277</v>
      </c>
      <c r="J7" s="50">
        <f>'와이드(실측)'!I7+MAX(AS7,AT7)+와이드JBJD키움치수+IF(BI7=1,AD7,0)-IF(와이드JB하부늘치=1,'와이드(실측)'!Y7-'와이드(실측)'!Z7,0)</f>
        <v>274</v>
      </c>
      <c r="K7" s="50">
        <f>'와이드(실측)'!J7+MAX(AS7,AT7)+와이드JBJD키움치수+IF(BI7=1,AE7,0)</f>
        <v>277</v>
      </c>
      <c r="L7" s="50">
        <f>'와이드(실측)'!J7+MAX(AS7,AT7)+와이드JBJD키움치수+IF(BI7=1,AF7,0)-IF(와이드JB하부늘치=1,'와이드(실측)'!AA7-'와이드(실측)'!AB7,0)</f>
        <v>298</v>
      </c>
      <c r="M7" s="31">
        <f t="shared" ref="M7:N7" si="0">IF(소장="손상민",0,O7-1.5)</f>
        <v>43.5</v>
      </c>
      <c r="N7" s="31">
        <f t="shared" si="0"/>
        <v>43.5</v>
      </c>
      <c r="O7" s="31">
        <f>IF(S7&lt;9,'와이드(실측)'!K7+1.2,IF(ISNUMBER('와이드(실측)'!K7),'와이드(실측)'!K7+와이드C값,0))</f>
        <v>45</v>
      </c>
      <c r="P7" s="31">
        <f>IF(T7&lt;9,'와이드(실측)'!L7+1.2,IF(ISNUMBER('와이드(실측)'!L7),'와이드(실측)'!L7+와이드C값,0))</f>
        <v>45</v>
      </c>
      <c r="Q7" s="32">
        <f>ROUNDUP(AV7,1)</f>
        <v>12.9</v>
      </c>
      <c r="R7" s="38">
        <f>ROUNDUP(AW7,1)</f>
        <v>12.9</v>
      </c>
      <c r="S7" s="31">
        <f>IF(ISNUMBER('와이드(실측)'!O7),'와이드(실측)'!O7+와이드제작!AS7+와이드A늘림,0)</f>
        <v>12</v>
      </c>
      <c r="T7" s="31">
        <f>IF(ISNUMBER('와이드(실측)'!P7),'와이드(실측)'!P7+와이드제작!AT7+와이드A늘림,0)</f>
        <v>11</v>
      </c>
      <c r="U7" s="31">
        <f>'와이드(실측)'!Q7-와이드기둥차감</f>
        <v>2090</v>
      </c>
      <c r="V7" s="31">
        <f>'와이드(실측)'!R7-와이드기둥차감</f>
        <v>2085</v>
      </c>
      <c r="W7" s="31">
        <f>'와이드(실측)'!S7-와이드기둥차감</f>
        <v>2098</v>
      </c>
      <c r="X7" s="31">
        <f>'와이드(실측)'!T7-와이드기둥차감</f>
        <v>2084</v>
      </c>
      <c r="Y7" s="31">
        <f>IF(소장="손상민",IF(ISNUMBER('와이드(실측)'!U7),'와이드(실측)'!U7+1.2,0),IF(ISNUMBER('와이드(실측)'!U7),'와이드(실측)'!U7+와이드U,0))</f>
        <v>40</v>
      </c>
      <c r="Z7" s="31">
        <f>IF(소장="손상민",MAX(Q7,R7)+3.2,IF(ISNUMBER('와이드(실측)'!V7),'와이드(실측)'!V7+1.5+와이드제작!Q7+1,0))</f>
        <v>16.399999999999999</v>
      </c>
      <c r="AA7" s="31">
        <f>'와이드(실측)'!W7+뒷날개치수더함</f>
        <v>30</v>
      </c>
      <c r="AB7" s="31">
        <f>'와이드(실측)'!X7+뒷날개치수더함</f>
        <v>30</v>
      </c>
      <c r="AC7" s="31">
        <f>'와이드(실측)'!Y7-와이드늘치</f>
        <v>35</v>
      </c>
      <c r="AD7" s="31">
        <f>IF(와이드JB하부늘치=1,AC7,'와이드(실측)'!Z7-와이드늘치)</f>
        <v>35</v>
      </c>
      <c r="AE7" s="31">
        <f>'와이드(실측)'!AA7-와이드늘치</f>
        <v>39</v>
      </c>
      <c r="AF7" s="31">
        <f>IF(와이드JB하부늘치=1,AE7,'와이드(실측)'!AB7-와이드늘치)</f>
        <v>39</v>
      </c>
      <c r="AG7" s="31">
        <f xml:space="preserve"> IF(소장&lt;&gt;"손상민",IF('와이드(실측)'!AC7&gt;0,'와이드(실측)'!AC7,C7-1.2),IF('와이드(실측)'!AC7&gt;0,'와이드(실측)'!AC7+1.2,C7) )</f>
        <v>263.8</v>
      </c>
      <c r="AH7" s="31">
        <f xml:space="preserve"> IF(소장&lt;&gt;"손상민",IF('와이드(실측)'!AD7&gt;0,'와이드(실측)'!AD7,D7-1.2),IF('와이드(실측)'!AD7&gt;0,'와이드(실측)'!AD7+1.2,D7))</f>
        <v>263.8</v>
      </c>
      <c r="AI7" s="51">
        <f>IF(Z7&gt;0,Z7-MAX(Q7,R7),0)</f>
        <v>3.4999999999999982</v>
      </c>
      <c r="AJ7" s="31" t="str">
        <f t="shared" ref="AJ7" si="1">BA7&amp;"*"&amp;BB7</f>
        <v>1170*645.6</v>
      </c>
      <c r="AK7" s="31" t="str">
        <f t="shared" ref="AK7" si="2">BD7&amp;"*"&amp;BC7</f>
        <v>2353.8*394.2</v>
      </c>
      <c r="AL7" s="31" t="str">
        <f t="shared" ref="AL7" si="3">BF7&amp;"*"&amp;BE7</f>
        <v>2361.8*418.2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100</v>
      </c>
      <c r="AP7" s="31">
        <f>IF('와이드(실측)'!AH7&gt;5,'와이드(실측)'!AH7+뒷날개치수더함,'와이드(실측)'!AH7)</f>
        <v>20</v>
      </c>
      <c r="AQ7" s="31">
        <f>'와이드(실측)'!AI7</f>
        <v>10</v>
      </c>
      <c r="AR7" s="31">
        <f>'와이드(실측)'!AJ7</f>
        <v>20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9.9262455066517052</v>
      </c>
      <c r="AV7" s="21">
        <f>ABS(G7-COS(RADIANS(AU7))*I7)</f>
        <v>12.85343940213005</v>
      </c>
      <c r="AW7" s="21">
        <f>ABS(H7-COS(RADIANS(AU7))*K7)</f>
        <v>12.85343940213005</v>
      </c>
      <c r="AX7" s="21">
        <f>'와이드(실측)'!M7+AS7</f>
        <v>12</v>
      </c>
      <c r="AY7" s="21">
        <f>'와이드(실측)'!N7+AS7</f>
        <v>12</v>
      </c>
      <c r="AZ7" s="20">
        <f>AV7-MAX(AX7,AY7)</f>
        <v>0.85343940213004998</v>
      </c>
      <c r="BA7" s="41">
        <f>IF(소장&lt;&gt;"손상민",F7+IF(Y7+Z7&gt;0,N7+M7,0),F7)</f>
        <v>1170</v>
      </c>
      <c r="BB7" s="42">
        <f>MAX(C7,D7)+MAX(G7,H7)+AA7-1.2*$AJ$3+IF(BI7=0,MAX(AE7,AC7),0)+IF(Y7=0,1.2,0)+IF(Z7=0,1.2,0)+IF(소장&lt;&gt;"손상민", Y7+Z7,IF('와이드(실측)'!U7=0,0,2.4))</f>
        <v>645.6</v>
      </c>
      <c r="BC7" s="41">
        <f>S7+O7+MAX(I7,J7)+AB7-1.2*$AL$3+IF(BI7=0,MAX(AD7,AC7),0)+IF(S7=0,1.2,0)-IF(AR7=90,2.4,0)</f>
        <v>394.2</v>
      </c>
      <c r="BD7" s="41">
        <f>MAX(U7,V7)+AG7</f>
        <v>2353.8000000000002</v>
      </c>
      <c r="BE7" s="41">
        <f>T7+P7+MAX(K7,L7)+AB7-1.2*$AL$3+IF(BI7=0,MAX(AE7,AF7),0)+IF(T7=0,1.2,0)-IF(AR7=90,2.4,0)</f>
        <v>418.2</v>
      </c>
      <c r="BF7" s="41">
        <f>MAX(W7,X7)+AH7</f>
        <v>2361.8000000000002</v>
      </c>
      <c r="BG7" s="6">
        <f t="shared" ref="BG7" si="4">I7-G7-Q7</f>
        <v>4.0999999999999996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>
      <c r="A8" s="31">
        <f>'와이드(실측)'!A8</f>
        <v>525</v>
      </c>
      <c r="B8" s="31" t="str">
        <f>'와이드(실측)'!B8&amp;"F"</f>
        <v>1F</v>
      </c>
      <c r="C8" s="31">
        <f>'와이드(실측)'!C8+와이드MH더함-IF(AND(소장="추영덕",Y8=0),1.2)</f>
        <v>260</v>
      </c>
      <c r="D8" s="31">
        <f>'와이드(실측)'!D8+와이드MH더함-IF(AND(소장="추영덕",Y8=0),1.2)</f>
        <v>260</v>
      </c>
      <c r="E8" s="135">
        <f>'와이드(실측)'!E8-와이드OP</f>
        <v>891</v>
      </c>
      <c r="F8" s="31">
        <f>'와이드(실측)'!F8-와이드R</f>
        <v>992</v>
      </c>
      <c r="G8" s="50">
        <f>'와이드(실측)'!G8+와이드JBJD키움치수+IF(BI8=1,AC8,0)</f>
        <v>288</v>
      </c>
      <c r="H8" s="50">
        <f>'와이드(실측)'!H8+와이드JBJD키움치수+IF(BI8=1,AE8,0)</f>
        <v>288</v>
      </c>
      <c r="I8" s="50">
        <f>'와이드(실측)'!I8+MAX(AS8,AT8)+와이드JBJD키움치수+IF(BI8=1,AC8,0)</f>
        <v>305</v>
      </c>
      <c r="J8" s="50">
        <f>'와이드(실측)'!I8+MAX(AS8,AT8)+와이드JBJD키움치수+IF(BI8=1,AD8,0)-IF(와이드JB하부늘치=1,'와이드(실측)'!Y8-'와이드(실측)'!Z8,0)</f>
        <v>307</v>
      </c>
      <c r="K8" s="50">
        <f>'와이드(실측)'!J8+MAX(AS8,AT8)+와이드JBJD키움치수+IF(BI8=1,AE8,0)</f>
        <v>305</v>
      </c>
      <c r="L8" s="50">
        <f>'와이드(실측)'!J8+MAX(AS8,AT8)+와이드JBJD키움치수+IF(BI8=1,AF8,0)-IF(와이드JB하부늘치=1,'와이드(실측)'!AA8-'와이드(실측)'!AB8,0)</f>
        <v>309</v>
      </c>
      <c r="M8" s="31">
        <f t="shared" ref="M8:M9" si="5">IF(소장="손상민",0,O8-1.5)</f>
        <v>43.5</v>
      </c>
      <c r="N8" s="31">
        <f t="shared" ref="N8:N9" si="6">IF(소장="손상민",0,P8-1.5)</f>
        <v>43.5</v>
      </c>
      <c r="O8" s="31">
        <f>IF(S8&lt;9,'와이드(실측)'!K8+1.2,IF(ISNUMBER('와이드(실측)'!K8),'와이드(실측)'!K8+와이드C값,0))</f>
        <v>45</v>
      </c>
      <c r="P8" s="31">
        <f>IF(T8&lt;9,'와이드(실측)'!L8+1.2,IF(ISNUMBER('와이드(실측)'!L8),'와이드(실측)'!L8+와이드C값,0))</f>
        <v>45</v>
      </c>
      <c r="Q8" s="32">
        <f t="shared" ref="Q8:Q9" si="7">ROUNDUP(AV8,1)</f>
        <v>12.5</v>
      </c>
      <c r="R8" s="38">
        <f t="shared" ref="R8:R9" si="8">ROUNDUP(AW8,1)</f>
        <v>12.5</v>
      </c>
      <c r="S8" s="31">
        <f>IF(ISNUMBER('와이드(실측)'!O8),'와이드(실측)'!O8+와이드제작!AS8+와이드A늘림,0)</f>
        <v>12</v>
      </c>
      <c r="T8" s="31">
        <f>IF(ISNUMBER('와이드(실측)'!P8),'와이드(실측)'!P8+와이드제작!AT8+와이드A늘림,0)</f>
        <v>9</v>
      </c>
      <c r="U8" s="31">
        <f>'와이드(실측)'!Q8-와이드기둥차감</f>
        <v>2100</v>
      </c>
      <c r="V8" s="31">
        <f>'와이드(실측)'!R8-와이드기둥차감</f>
        <v>2087</v>
      </c>
      <c r="W8" s="31">
        <f>'와이드(실측)'!S8-와이드기둥차감</f>
        <v>2102</v>
      </c>
      <c r="X8" s="31">
        <f>'와이드(실측)'!T8-와이드기둥차감</f>
        <v>2086</v>
      </c>
      <c r="Y8" s="31">
        <f>IF(소장="손상민",IF(ISNUMBER('와이드(실측)'!U8),'와이드(실측)'!U8+1.2,0),IF(ISNUMBER('와이드(실측)'!U8),'와이드(실측)'!U8+와이드U,0))</f>
        <v>40</v>
      </c>
      <c r="Z8" s="31">
        <f>IF(소장="손상민",MAX(Q8,R8)+3.2,IF(ISNUMBER('와이드(실측)'!V8),'와이드(실측)'!V8+1.5+와이드제작!Q8+1,0))</f>
        <v>16</v>
      </c>
      <c r="AA8" s="31">
        <f>'와이드(실측)'!W8+뒷날개치수더함</f>
        <v>30</v>
      </c>
      <c r="AB8" s="31">
        <f>'와이드(실측)'!X8+뒷날개치수더함</f>
        <v>30</v>
      </c>
      <c r="AC8" s="31">
        <f>'와이드(실측)'!Y8-와이드늘치</f>
        <v>31</v>
      </c>
      <c r="AD8" s="31">
        <f>IF(와이드JB하부늘치=1,AC8,'와이드(실측)'!Z8-와이드늘치)</f>
        <v>31</v>
      </c>
      <c r="AE8" s="31">
        <f>'와이드(실측)'!AA8-와이드늘치</f>
        <v>32</v>
      </c>
      <c r="AF8" s="31">
        <f>IF(와이드JB하부늘치=1,AE8,'와이드(실측)'!AB8-와이드늘치)</f>
        <v>32</v>
      </c>
      <c r="AG8" s="31">
        <f xml:space="preserve"> IF(소장&lt;&gt;"손상민",IF('와이드(실측)'!AC8&gt;0,'와이드(실측)'!AC8,C8-1.2),IF('와이드(실측)'!AC8&gt;0,'와이드(실측)'!AC8+1.2,C8) )</f>
        <v>258.8</v>
      </c>
      <c r="AH8" s="31">
        <f xml:space="preserve"> IF(소장&lt;&gt;"손상민",IF('와이드(실측)'!AD8&gt;0,'와이드(실측)'!AD8,D8-1.2),IF('와이드(실측)'!AD8&gt;0,'와이드(실측)'!AD8+1.2,D8))</f>
        <v>258.8</v>
      </c>
      <c r="AI8" s="51">
        <f t="shared" ref="AI8:AI9" si="9">IF(Z8&gt;0,Z8-MAX(Q8,R8),0)</f>
        <v>3.5</v>
      </c>
      <c r="AJ8" s="31" t="str">
        <f t="shared" ref="AJ8:AJ9" si="10">BA8&amp;"*"&amp;BB8</f>
        <v>1079*661.2</v>
      </c>
      <c r="AK8" s="31" t="str">
        <f t="shared" ref="AK8:AK9" si="11">BD8&amp;"*"&amp;BC8</f>
        <v>2358.8*420.2</v>
      </c>
      <c r="AL8" s="31" t="str">
        <f t="shared" ref="AL8:AL9" si="12">BF8&amp;"*"&amp;BE8</f>
        <v>2360.8*420.2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100</v>
      </c>
      <c r="AP8" s="31">
        <f>IF('와이드(실측)'!AH8&gt;5,'와이드(실측)'!AH8+뒷날개치수더함,'와이드(실측)'!AH8)</f>
        <v>20</v>
      </c>
      <c r="AQ8" s="31">
        <f>'와이드(실측)'!AI8</f>
        <v>10</v>
      </c>
      <c r="AR8" s="31">
        <f>'와이드(실측)'!AJ8</f>
        <v>20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9" si="13">DEGREES(ATAN((F8-E8)/2/(H8)))</f>
        <v>9.9455475750714815</v>
      </c>
      <c r="AV8" s="21">
        <f t="shared" ref="AV8:AV9" si="14">ABS(G8-COS(RADIANS(AU8))*I8)</f>
        <v>12.416563386924452</v>
      </c>
      <c r="AW8" s="21">
        <f t="shared" ref="AW8:AW9" si="15">ABS(H8-COS(RADIANS(AU8))*K8)</f>
        <v>12.416563386924452</v>
      </c>
      <c r="AX8" s="21">
        <f>'와이드(실측)'!M8+AS8</f>
        <v>12</v>
      </c>
      <c r="AY8" s="21">
        <f>'와이드(실측)'!N8+AS8</f>
        <v>12</v>
      </c>
      <c r="AZ8" s="20">
        <f t="shared" ref="AZ8:AZ9" si="16">AV8-MAX(AX8,AY8)</f>
        <v>0.41656338692445161</v>
      </c>
      <c r="BA8" s="41">
        <f>IF(소장&lt;&gt;"손상민",F8+IF(Y8+Z8&gt;0,N8+M8,0),F8)</f>
        <v>1079</v>
      </c>
      <c r="BB8" s="42">
        <f>MAX(C8,D8)+MAX(G8,H8)+AA8-1.2*$AJ$3+IF(BI8=0,MAX(AE8,AC8),0)+IF(Y8=0,1.2,0)+IF(Z8=0,1.2,0)+IF(소장&lt;&gt;"손상민", Y8+Z8,IF('와이드(실측)'!U8=0,0,2.4))</f>
        <v>661.2</v>
      </c>
      <c r="BC8" s="41">
        <f t="shared" ref="BC8:BC9" si="17">S8+O8+MAX(I8,J8)+AB8-1.2*$AL$3+IF(BI8=0,MAX(AD8,AC8),0)+IF(S8=0,1.2,0)-IF(AR8=90,2.4,0)</f>
        <v>420.2</v>
      </c>
      <c r="BD8" s="41">
        <f t="shared" ref="BD8:BD9" si="18">MAX(U8,V8)+AG8</f>
        <v>2358.8000000000002</v>
      </c>
      <c r="BE8" s="41">
        <f t="shared" ref="BE8:BE9" si="19">T8+P8+MAX(K8,L8)+AB8-1.2*$AL$3+IF(BI8=0,MAX(AE8,AF8),0)+IF(T8=0,1.2,0)-IF(AR8=90,2.4,0)</f>
        <v>420.2</v>
      </c>
      <c r="BF8" s="41">
        <f t="shared" ref="BF8:BF9" si="20">MAX(W8,X8)+AH8</f>
        <v>2360.8000000000002</v>
      </c>
      <c r="BG8" s="6">
        <f t="shared" ref="BG8:BG9" si="21">I8-G8-Q8</f>
        <v>4.5</v>
      </c>
      <c r="BH8" s="43" t="str">
        <f t="shared" ref="BH8:BH9" si="22">IF(AND(C8&lt;&gt;D8,Y8&gt;0),"NG","")</f>
        <v/>
      </c>
      <c r="BI8" s="77">
        <f t="shared" ref="BI8:BI9" si="23">IF(AND(MIN(AC8,AE8)&gt;=9.2,ABS(F8-E8)&gt;15),0,1)</f>
        <v>0</v>
      </c>
    </row>
    <row r="9" spans="1:61" ht="26.25" customHeight="1">
      <c r="A9" s="31">
        <f>'와이드(실측)'!A9</f>
        <v>528</v>
      </c>
      <c r="B9" s="31" t="str">
        <f>'와이드(실측)'!B9&amp;"F"</f>
        <v>1F</v>
      </c>
      <c r="C9" s="31">
        <f>'와이드(실측)'!C9+와이드MH더함-IF(AND(소장="추영덕",Y9=0),1.2)</f>
        <v>266</v>
      </c>
      <c r="D9" s="31">
        <f>'와이드(실측)'!D9+와이드MH더함-IF(AND(소장="추영덕",Y9=0),1.2)</f>
        <v>266</v>
      </c>
      <c r="E9" s="135">
        <f>'와이드(실측)'!E9-와이드OP</f>
        <v>890</v>
      </c>
      <c r="F9" s="31">
        <f>'와이드(실측)'!F9-와이드R</f>
        <v>987</v>
      </c>
      <c r="G9" s="50">
        <f>'와이드(실측)'!G9+와이드JBJD키움치수+IF(BI9=1,AC9,0)</f>
        <v>269</v>
      </c>
      <c r="H9" s="50">
        <f>'와이드(실측)'!H9+와이드JBJD키움치수+IF(BI9=1,AE9,0)</f>
        <v>269</v>
      </c>
      <c r="I9" s="50">
        <f>'와이드(실측)'!I9+MAX(AS9,AT9)+와이드JBJD키움치수+IF(BI9=1,AC9,0)</f>
        <v>285</v>
      </c>
      <c r="J9" s="50">
        <f>'와이드(실측)'!I9+MAX(AS9,AT9)+와이드JBJD키움치수+IF(BI9=1,AD9,0)-IF(와이드JB하부늘치=1,'와이드(실측)'!Y9-'와이드(실측)'!Z9,0)</f>
        <v>288</v>
      </c>
      <c r="K9" s="50">
        <f>'와이드(실측)'!J9+MAX(AS9,AT9)+와이드JBJD키움치수+IF(BI9=1,AE9,0)</f>
        <v>285</v>
      </c>
      <c r="L9" s="50">
        <f>'와이드(실측)'!J9+MAX(AS9,AT9)+와이드JBJD키움치수+IF(BI9=1,AF9,0)-IF(와이드JB하부늘치=1,'와이드(실측)'!AA9-'와이드(실측)'!AB9,0)</f>
        <v>285</v>
      </c>
      <c r="M9" s="31">
        <f t="shared" si="5"/>
        <v>43.5</v>
      </c>
      <c r="N9" s="31">
        <f t="shared" si="6"/>
        <v>43.5</v>
      </c>
      <c r="O9" s="31">
        <f>IF(S9&lt;9,'와이드(실측)'!K9+1.2,IF(ISNUMBER('와이드(실측)'!K9),'와이드(실측)'!K9+와이드C값,0))</f>
        <v>45</v>
      </c>
      <c r="P9" s="31">
        <f>IF(T9&lt;9,'와이드(실측)'!L9+1.2,IF(ISNUMBER('와이드(실측)'!L9),'와이드(실측)'!L9+와이드C값,0))</f>
        <v>45</v>
      </c>
      <c r="Q9" s="32">
        <f t="shared" si="7"/>
        <v>11.5</v>
      </c>
      <c r="R9" s="38">
        <f t="shared" si="8"/>
        <v>11.5</v>
      </c>
      <c r="S9" s="31">
        <f>IF(ISNUMBER('와이드(실측)'!O9),'와이드(실측)'!O9+와이드제작!AS9+와이드A늘림,0)</f>
        <v>14</v>
      </c>
      <c r="T9" s="31">
        <f>IF(ISNUMBER('와이드(실측)'!P9),'와이드(실측)'!P9+와이드제작!AT9+와이드A늘림,0)</f>
        <v>14</v>
      </c>
      <c r="U9" s="31">
        <f>'와이드(실측)'!Q9-와이드기둥차감</f>
        <v>2108</v>
      </c>
      <c r="V9" s="31">
        <f>'와이드(실측)'!R9-와이드기둥차감</f>
        <v>2090</v>
      </c>
      <c r="W9" s="31">
        <f>'와이드(실측)'!S9-와이드기둥차감</f>
        <v>2100</v>
      </c>
      <c r="X9" s="31">
        <f>'와이드(실측)'!T9-와이드기둥차감</f>
        <v>2088</v>
      </c>
      <c r="Y9" s="31">
        <f>IF(소장="손상민",IF(ISNUMBER('와이드(실측)'!U9),'와이드(실측)'!U9+1.2,0),IF(ISNUMBER('와이드(실측)'!U9),'와이드(실측)'!U9+와이드U,0))</f>
        <v>40</v>
      </c>
      <c r="Z9" s="31">
        <f>IF(소장="손상민",MAX(Q9,R9)+3.2,IF(ISNUMBER('와이드(실측)'!V9),'와이드(실측)'!V9+1.5+와이드제작!Q9+1,0))</f>
        <v>15</v>
      </c>
      <c r="AA9" s="31">
        <f>'와이드(실측)'!W9+뒷날개치수더함</f>
        <v>30</v>
      </c>
      <c r="AB9" s="31">
        <f>'와이드(실측)'!X9+뒷날개치수더함</f>
        <v>30</v>
      </c>
      <c r="AC9" s="31">
        <f>'와이드(실측)'!Y9-와이드늘치</f>
        <v>32</v>
      </c>
      <c r="AD9" s="31">
        <f>IF(와이드JB하부늘치=1,AC9,'와이드(실측)'!Z9-와이드늘치)</f>
        <v>32</v>
      </c>
      <c r="AE9" s="31">
        <f>'와이드(실측)'!AA9-와이드늘치</f>
        <v>41</v>
      </c>
      <c r="AF9" s="31">
        <f>IF(와이드JB하부늘치=1,AE9,'와이드(실측)'!AB9-와이드늘치)</f>
        <v>41</v>
      </c>
      <c r="AG9" s="31">
        <f xml:space="preserve"> IF(소장&lt;&gt;"손상민",IF('와이드(실측)'!AC9&gt;0,'와이드(실측)'!AC9,C9-1.2),IF('와이드(실측)'!AC9&gt;0,'와이드(실측)'!AC9+1.2,C9) )</f>
        <v>264.8</v>
      </c>
      <c r="AH9" s="31">
        <f xml:space="preserve"> IF(소장&lt;&gt;"손상민",IF('와이드(실측)'!AD9&gt;0,'와이드(실측)'!AD9,D9-1.2),IF('와이드(실측)'!AD9&gt;0,'와이드(실측)'!AD9+1.2,D9))</f>
        <v>264.8</v>
      </c>
      <c r="AI9" s="51">
        <f t="shared" si="9"/>
        <v>3.5</v>
      </c>
      <c r="AJ9" s="31" t="str">
        <f t="shared" si="10"/>
        <v>1074*656.2</v>
      </c>
      <c r="AK9" s="31" t="str">
        <f t="shared" si="11"/>
        <v>2372.8*404.2</v>
      </c>
      <c r="AL9" s="31" t="str">
        <f t="shared" si="12"/>
        <v>2364.8*410.2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100</v>
      </c>
      <c r="AP9" s="31">
        <f>IF('와이드(실측)'!AH9&gt;5,'와이드(실측)'!AH9+뒷날개치수더함,'와이드(실측)'!AH9)</f>
        <v>20</v>
      </c>
      <c r="AQ9" s="31">
        <f>'와이드(실측)'!AI9</f>
        <v>10</v>
      </c>
      <c r="AR9" s="31">
        <f>'와이드(실측)'!AJ9</f>
        <v>20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3"/>
        <v>10.220477744466979</v>
      </c>
      <c r="AV9" s="21">
        <f t="shared" si="14"/>
        <v>11.477692476994605</v>
      </c>
      <c r="AW9" s="21">
        <f t="shared" si="15"/>
        <v>11.477692476994605</v>
      </c>
      <c r="AX9" s="21">
        <f>'와이드(실측)'!M9+AS9</f>
        <v>12</v>
      </c>
      <c r="AY9" s="21">
        <f>'와이드(실측)'!N9+AS9</f>
        <v>12</v>
      </c>
      <c r="AZ9" s="20">
        <f t="shared" si="16"/>
        <v>-0.52230752300539507</v>
      </c>
      <c r="BA9" s="41">
        <f>IF(소장&lt;&gt;"손상민",F9+IF(Y9+Z9&gt;0,N9+M9,0),F9)</f>
        <v>1074</v>
      </c>
      <c r="BB9" s="42">
        <f>MAX(C9,D9)+MAX(G9,H9)+AA9-1.2*$AJ$3+IF(BI9=0,MAX(AE9,AC9),0)+IF(Y9=0,1.2,0)+IF(Z9=0,1.2,0)+IF(소장&lt;&gt;"손상민", Y9+Z9,IF('와이드(실측)'!U9=0,0,2.4))</f>
        <v>656.2</v>
      </c>
      <c r="BC9" s="41">
        <f t="shared" si="17"/>
        <v>404.2</v>
      </c>
      <c r="BD9" s="41">
        <f t="shared" si="18"/>
        <v>2372.8000000000002</v>
      </c>
      <c r="BE9" s="41">
        <f t="shared" si="19"/>
        <v>410.2</v>
      </c>
      <c r="BF9" s="41">
        <f t="shared" si="20"/>
        <v>2364.8000000000002</v>
      </c>
      <c r="BG9" s="6">
        <f t="shared" si="21"/>
        <v>4.5</v>
      </c>
      <c r="BH9" s="43" t="str">
        <f t="shared" si="22"/>
        <v/>
      </c>
      <c r="BI9" s="77">
        <f t="shared" si="23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9">
    <cfRule type="cellIs" dxfId="85" priority="52" operator="greaterThan">
      <formula>3</formula>
    </cfRule>
  </conditionalFormatting>
  <conditionalFormatting sqref="F7:F9">
    <cfRule type="cellIs" dxfId="84" priority="39" operator="greaterThan">
      <formula>1210</formula>
    </cfRule>
  </conditionalFormatting>
  <conditionalFormatting sqref="I7:L9 C7:D9">
    <cfRule type="cellIs" dxfId="83" priority="38" operator="greaterThan">
      <formula>500</formula>
    </cfRule>
  </conditionalFormatting>
  <conditionalFormatting sqref="C7:D9">
    <cfRule type="cellIs" dxfId="82" priority="36" operator="notEqual">
      <formula>$D7</formula>
    </cfRule>
  </conditionalFormatting>
  <conditionalFormatting sqref="D7:D9">
    <cfRule type="cellIs" dxfId="81" priority="35" operator="notEqual">
      <formula>$C7</formula>
    </cfRule>
  </conditionalFormatting>
  <conditionalFormatting sqref="AO7:AR9">
    <cfRule type="cellIs" dxfId="80" priority="17" operator="greaterThan">
      <formula>1.2</formula>
    </cfRule>
  </conditionalFormatting>
  <conditionalFormatting sqref="AO7:AO9">
    <cfRule type="cellIs" dxfId="79" priority="16" operator="greaterThan">
      <formula>0</formula>
    </cfRule>
  </conditionalFormatting>
  <conditionalFormatting sqref="G7:G9">
    <cfRule type="cellIs" dxfId="78" priority="14" operator="notEqual">
      <formula>H7</formula>
    </cfRule>
  </conditionalFormatting>
  <conditionalFormatting sqref="H7:H9">
    <cfRule type="cellIs" dxfId="77" priority="13" operator="notEqual">
      <formula>G7</formula>
    </cfRule>
  </conditionalFormatting>
  <conditionalFormatting sqref="I7:I9">
    <cfRule type="cellIs" dxfId="76" priority="12" operator="notEqual">
      <formula>J7</formula>
    </cfRule>
  </conditionalFormatting>
  <conditionalFormatting sqref="J7:J9">
    <cfRule type="cellIs" dxfId="75" priority="11" operator="notEqual">
      <formula>I7</formula>
    </cfRule>
  </conditionalFormatting>
  <conditionalFormatting sqref="K7:K9">
    <cfRule type="cellIs" dxfId="74" priority="10" operator="notEqual">
      <formula>L7</formula>
    </cfRule>
  </conditionalFormatting>
  <conditionalFormatting sqref="L7:L9">
    <cfRule type="cellIs" dxfId="73" priority="9" operator="notEqual">
      <formula>K7</formula>
    </cfRule>
  </conditionalFormatting>
  <conditionalFormatting sqref="AG7:AG9">
    <cfRule type="cellIs" dxfId="72" priority="8" operator="notEqual">
      <formula>AH7</formula>
    </cfRule>
  </conditionalFormatting>
  <conditionalFormatting sqref="AH7:AH9">
    <cfRule type="cellIs" dxfId="71" priority="7" operator="notEqual">
      <formula>AG7</formula>
    </cfRule>
  </conditionalFormatting>
  <conditionalFormatting sqref="AC7:AF9">
    <cfRule type="expression" dxfId="70" priority="6">
      <formula>$BI7</formula>
    </cfRule>
  </conditionalFormatting>
  <conditionalFormatting sqref="Y7:Y9">
    <cfRule type="expression" dxfId="69" priority="2">
      <formula>소장="손상민"</formula>
    </cfRule>
  </conditionalFormatting>
  <conditionalFormatting sqref="Z7:Z9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>
      <c r="A1" s="174" t="str">
        <f>정보!B3</f>
        <v>(멍텅구리) 실측서 ( 경기도 부천 은하마을 주공1단지아파트-3차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>
      <c r="A3" s="129" t="str">
        <f>"현장명 : " &amp; 정보!B1 &amp; ",   (재질) : " &amp; 정보!B8</f>
        <v>현장명 : 경기도 부천 은하마을 주공1단지아파트-3차,   (재질) : HL 1.2T</v>
      </c>
      <c r="B3" s="2"/>
      <c r="C3" s="2"/>
      <c r="D3" s="2"/>
      <c r="E3" s="2"/>
      <c r="F3" s="2"/>
      <c r="G3" s="248"/>
      <c r="H3" s="248"/>
      <c r="I3" s="255"/>
      <c r="J3" s="255"/>
      <c r="K3" s="256"/>
      <c r="L3" s="256"/>
      <c r="M3" s="257"/>
      <c r="N3" s="257"/>
      <c r="O3" s="257"/>
      <c r="P3" s="252" t="s">
        <v>97</v>
      </c>
      <c r="Q3" s="252"/>
      <c r="R3" s="253"/>
      <c r="S3" s="253"/>
      <c r="T3" s="254"/>
      <c r="U3" s="254"/>
    </row>
    <row r="4" spans="1:39" ht="33" customHeight="1">
      <c r="A4" s="172" t="str">
        <f>정보!B11</f>
        <v>제작치수 반영 : JB/JD +(3 ),  늘어난치수K -(3),  C + (0),  U +(0), OP - (2), R - (0),  기둥차감 - (0), 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82" t="s">
        <v>215</v>
      </c>
      <c r="AC4" s="182"/>
      <c r="AD4" s="81" t="s">
        <v>234</v>
      </c>
    </row>
    <row r="5" spans="1:39" ht="25.9" customHeight="1">
      <c r="A5" s="184" t="s">
        <v>0</v>
      </c>
      <c r="B5" s="176" t="s">
        <v>1</v>
      </c>
      <c r="C5" s="176" t="s">
        <v>3</v>
      </c>
      <c r="D5" s="176" t="s">
        <v>18</v>
      </c>
      <c r="E5" s="176" t="s">
        <v>4</v>
      </c>
      <c r="F5" s="176" t="s">
        <v>5</v>
      </c>
      <c r="G5" s="176" t="s">
        <v>6</v>
      </c>
      <c r="H5" s="176" t="s">
        <v>7</v>
      </c>
      <c r="I5" s="176" t="s">
        <v>8</v>
      </c>
      <c r="J5" s="176" t="s">
        <v>9</v>
      </c>
      <c r="K5" s="176" t="s">
        <v>10</v>
      </c>
      <c r="L5" s="176" t="s">
        <v>11</v>
      </c>
      <c r="M5" s="176" t="s">
        <v>14</v>
      </c>
      <c r="N5" s="176" t="s">
        <v>15</v>
      </c>
      <c r="O5" s="176" t="s">
        <v>16</v>
      </c>
      <c r="P5" s="176" t="s">
        <v>17</v>
      </c>
      <c r="Q5" s="176" t="s">
        <v>19</v>
      </c>
      <c r="R5" s="176" t="s">
        <v>20</v>
      </c>
      <c r="S5" s="246" t="s">
        <v>22</v>
      </c>
      <c r="T5" s="246" t="s">
        <v>23</v>
      </c>
      <c r="U5" s="249" t="s">
        <v>21</v>
      </c>
      <c r="V5" s="250"/>
      <c r="W5" s="250"/>
      <c r="X5" s="251"/>
      <c r="Y5" s="177" t="s">
        <v>203</v>
      </c>
      <c r="Z5" s="177"/>
      <c r="AA5" s="177"/>
      <c r="AB5" s="180" t="s">
        <v>212</v>
      </c>
      <c r="AC5" s="181"/>
      <c r="AD5" s="80" t="s">
        <v>231</v>
      </c>
    </row>
    <row r="6" spans="1:39" ht="47.25" customHeight="1">
      <c r="A6" s="184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247"/>
      <c r="T6" s="247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J5:J6"/>
    <mergeCell ref="G3:H3"/>
    <mergeCell ref="K5:K6"/>
    <mergeCell ref="O5:O6"/>
    <mergeCell ref="N5:N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L5:L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>
      <c r="A1" s="174" t="str">
        <f>정보!C3</f>
        <v>(멍텅구리) 제작변환 자료( 경기도 부천 은하마을 주공1단지아파트-3차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58" t="s">
        <v>75</v>
      </c>
      <c r="AL1" s="258"/>
      <c r="AM1" s="258"/>
      <c r="AR1" s="24"/>
    </row>
    <row r="2" spans="1:53" ht="28.5" customHeight="1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65" t="s">
        <v>81</v>
      </c>
      <c r="H2" s="265"/>
      <c r="I2" s="265"/>
      <c r="J2" s="271">
        <v>0</v>
      </c>
      <c r="K2" s="271"/>
      <c r="L2" s="268" t="s">
        <v>113</v>
      </c>
      <c r="M2" s="268"/>
      <c r="N2" s="268"/>
      <c r="O2" s="268"/>
      <c r="P2" s="269">
        <v>1</v>
      </c>
      <c r="Q2" s="269"/>
      <c r="R2" s="266" t="s">
        <v>103</v>
      </c>
      <c r="S2" s="267"/>
      <c r="T2" s="108">
        <v>0</v>
      </c>
      <c r="U2" s="266" t="s">
        <v>88</v>
      </c>
      <c r="V2" s="267"/>
      <c r="W2" s="264">
        <v>0</v>
      </c>
      <c r="X2" s="264"/>
      <c r="Y2" s="260" t="s">
        <v>82</v>
      </c>
      <c r="Z2" s="261"/>
      <c r="AA2" s="262">
        <v>0</v>
      </c>
      <c r="AB2" s="262"/>
      <c r="AC2" s="98" t="s">
        <v>114</v>
      </c>
      <c r="AD2" s="259">
        <v>3</v>
      </c>
      <c r="AE2" s="259"/>
      <c r="AF2" s="1"/>
      <c r="AG2" s="1"/>
      <c r="AH2" s="1"/>
      <c r="AI2" s="1"/>
      <c r="AJ2" s="1"/>
      <c r="AK2" s="258"/>
      <c r="AL2" s="258"/>
      <c r="AM2" s="258"/>
      <c r="AR2" s="24"/>
    </row>
    <row r="3" spans="1:53" ht="33" customHeight="1">
      <c r="A3" s="33" t="str">
        <f>'멍텅(실측)'!A3</f>
        <v>현장명 : 경기도 부천 은하마을 주공1단지아파트-3차,   (재질) : HL 1.2T</v>
      </c>
      <c r="B3" s="2"/>
      <c r="C3" s="2"/>
      <c r="D3" s="2"/>
      <c r="E3" s="2"/>
      <c r="F3" s="2"/>
      <c r="G3" s="260" t="s">
        <v>76</v>
      </c>
      <c r="H3" s="260"/>
      <c r="I3" s="260"/>
      <c r="J3" s="272">
        <v>3</v>
      </c>
      <c r="K3" s="272"/>
      <c r="L3" s="260" t="s">
        <v>77</v>
      </c>
      <c r="M3" s="260"/>
      <c r="N3" s="273">
        <v>0</v>
      </c>
      <c r="O3" s="273"/>
      <c r="P3" s="274" t="s">
        <v>227</v>
      </c>
      <c r="Q3" s="274"/>
      <c r="R3" s="274"/>
      <c r="S3" s="275">
        <f>AZ7</f>
        <v>1</v>
      </c>
      <c r="T3" s="275"/>
      <c r="U3" s="270" t="s">
        <v>78</v>
      </c>
      <c r="V3" s="270"/>
      <c r="W3" s="263">
        <v>1</v>
      </c>
      <c r="X3" s="263"/>
      <c r="AA3" s="218" t="s">
        <v>73</v>
      </c>
      <c r="AB3" s="218"/>
      <c r="AC3" s="102">
        <v>3</v>
      </c>
      <c r="AD3" s="4" t="s">
        <v>74</v>
      </c>
      <c r="AE3" s="104">
        <v>4</v>
      </c>
      <c r="AF3" s="289" t="s">
        <v>326</v>
      </c>
      <c r="AG3" s="290"/>
      <c r="AH3" s="221"/>
      <c r="AI3" s="291" t="e">
        <f>AN7</f>
        <v>#DIV/0!</v>
      </c>
      <c r="AJ3" s="238"/>
      <c r="AK3" s="25"/>
      <c r="AL3" s="25"/>
      <c r="AM3" s="24"/>
      <c r="AR3" s="24"/>
    </row>
    <row r="4" spans="1:53" ht="33" customHeight="1">
      <c r="A4" s="286" t="str">
        <f>'멍텅(실측)'!A4:Y4</f>
        <v>제작치수 반영 : JB/JD +(3 ),  늘어난치수K -(3),  C + (0),  U +(0), OP - (2), R - (0),  기둥차감 - (0),  A + (1)</v>
      </c>
      <c r="B4" s="286"/>
      <c r="C4" s="286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4" t="s">
        <v>312</v>
      </c>
      <c r="Z4" s="284"/>
      <c r="AA4" s="285">
        <f>'멍텅(실측)'!U7</f>
        <v>0</v>
      </c>
      <c r="AB4" s="285"/>
      <c r="AC4" s="9"/>
      <c r="AD4" s="231">
        <f ca="1">TODAY()</f>
        <v>45272</v>
      </c>
      <c r="AE4" s="171"/>
      <c r="AF4" s="287" t="s">
        <v>235</v>
      </c>
      <c r="AG4" s="287"/>
      <c r="AH4" s="288"/>
      <c r="AI4" s="182" t="s">
        <v>215</v>
      </c>
      <c r="AJ4" s="182"/>
      <c r="AK4" s="25"/>
      <c r="AL4" s="25"/>
      <c r="AM4" s="24"/>
      <c r="AR4" s="24"/>
      <c r="AZ4" s="186" t="s">
        <v>253</v>
      </c>
    </row>
    <row r="5" spans="1:53" ht="25.9" customHeight="1">
      <c r="A5" s="176" t="s">
        <v>0</v>
      </c>
      <c r="B5" s="176" t="s">
        <v>1</v>
      </c>
      <c r="C5" s="176" t="s">
        <v>3</v>
      </c>
      <c r="D5" s="176" t="s">
        <v>18</v>
      </c>
      <c r="E5" s="177" t="s">
        <v>58</v>
      </c>
      <c r="F5" s="177" t="s">
        <v>59</v>
      </c>
      <c r="G5" s="276" t="s">
        <v>60</v>
      </c>
      <c r="H5" s="276" t="s">
        <v>64</v>
      </c>
      <c r="I5" s="278" t="s">
        <v>65</v>
      </c>
      <c r="J5" s="278" t="s">
        <v>66</v>
      </c>
      <c r="K5" s="246" t="s">
        <v>62</v>
      </c>
      <c r="L5" s="246" t="s">
        <v>63</v>
      </c>
      <c r="M5" s="176" t="s">
        <v>8</v>
      </c>
      <c r="N5" s="176" t="s">
        <v>9</v>
      </c>
      <c r="O5" s="176" t="s">
        <v>10</v>
      </c>
      <c r="P5" s="176" t="s">
        <v>11</v>
      </c>
      <c r="Q5" s="176" t="s">
        <v>14</v>
      </c>
      <c r="R5" s="176" t="s">
        <v>15</v>
      </c>
      <c r="S5" s="176" t="s">
        <v>16</v>
      </c>
      <c r="T5" s="176" t="s">
        <v>17</v>
      </c>
      <c r="U5" s="176" t="s">
        <v>19</v>
      </c>
      <c r="V5" s="280" t="s">
        <v>20</v>
      </c>
      <c r="W5" s="246" t="s">
        <v>22</v>
      </c>
      <c r="X5" s="246" t="s">
        <v>23</v>
      </c>
      <c r="Y5" s="249" t="s">
        <v>21</v>
      </c>
      <c r="Z5" s="250"/>
      <c r="AA5" s="250"/>
      <c r="AB5" s="251"/>
      <c r="AC5" s="177" t="s">
        <v>25</v>
      </c>
      <c r="AD5" s="282" t="s">
        <v>34</v>
      </c>
      <c r="AE5" s="177" t="s">
        <v>35</v>
      </c>
      <c r="AF5" s="244" t="s">
        <v>203</v>
      </c>
      <c r="AG5" s="244"/>
      <c r="AH5" s="244"/>
      <c r="AI5" s="180" t="s">
        <v>212</v>
      </c>
      <c r="AJ5" s="181"/>
      <c r="AK5" s="186" t="s">
        <v>305</v>
      </c>
      <c r="AL5" s="186" t="s">
        <v>306</v>
      </c>
      <c r="AM5" s="281" t="s">
        <v>51</v>
      </c>
      <c r="AT5" s="187" t="s">
        <v>28</v>
      </c>
      <c r="AU5" s="187"/>
      <c r="AV5" s="187" t="s">
        <v>29</v>
      </c>
      <c r="AW5" s="187"/>
      <c r="AZ5" s="187"/>
    </row>
    <row r="6" spans="1:53" ht="48" customHeight="1">
      <c r="A6" s="176"/>
      <c r="B6" s="176"/>
      <c r="C6" s="176"/>
      <c r="D6" s="176"/>
      <c r="E6" s="176"/>
      <c r="F6" s="176"/>
      <c r="G6" s="277"/>
      <c r="H6" s="277"/>
      <c r="I6" s="279"/>
      <c r="J6" s="279"/>
      <c r="K6" s="247"/>
      <c r="L6" s="247"/>
      <c r="M6" s="176"/>
      <c r="N6" s="176"/>
      <c r="O6" s="176"/>
      <c r="P6" s="176"/>
      <c r="Q6" s="176"/>
      <c r="R6" s="176"/>
      <c r="S6" s="176"/>
      <c r="T6" s="176"/>
      <c r="U6" s="176"/>
      <c r="V6" s="280"/>
      <c r="W6" s="247"/>
      <c r="X6" s="247"/>
      <c r="Y6" s="8" t="s">
        <v>56</v>
      </c>
      <c r="Z6" s="8" t="s">
        <v>57</v>
      </c>
      <c r="AA6" s="8" t="s">
        <v>54</v>
      </c>
      <c r="AB6" s="8" t="s">
        <v>55</v>
      </c>
      <c r="AC6" s="176"/>
      <c r="AD6" s="283"/>
      <c r="AE6" s="176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7"/>
      <c r="AL6" s="187"/>
      <c r="AM6" s="28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>
      <c r="A7" s="4">
        <f>'멍텅(실측)'!A7</f>
        <v>0</v>
      </c>
      <c r="B7" s="4" t="str">
        <f>'멍텅(실측)'!B7&amp;"F"</f>
        <v>F</v>
      </c>
      <c r="C7" s="4">
        <f>'멍텅(실측)'!C7-멍텅OP</f>
        <v>-2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rrowsheet">
    <pageSetUpPr fitToPage="1"/>
  </sheetPr>
  <dimension ref="A1:V315"/>
  <sheetViews>
    <sheetView zoomScaleNormal="100" workbookViewId="0">
      <selection activeCell="I5" sqref="I5:I6"/>
    </sheetView>
  </sheetViews>
  <sheetFormatPr defaultRowHeight="16.5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>
      <c r="A1" s="293" t="str">
        <f>정보!B4</f>
        <v>(쪽쟘) 실측서 ( 경기도 부천 은하마을 주공1단지아파트-3차 ) _김운호소장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</row>
    <row r="2" spans="1:22" ht="15" customHeight="1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>
      <c r="A3" s="131" t="str">
        <f>"현장명 : " &amp;정보!B1&amp;" , 재질 : " &amp;정보!B9</f>
        <v>현장명 : 경기도 부천 은하마을 주공1단지아파트-3차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>
      <c r="A5" s="296" t="s">
        <v>118</v>
      </c>
      <c r="B5" s="292" t="s">
        <v>119</v>
      </c>
      <c r="C5" s="292" t="s">
        <v>120</v>
      </c>
      <c r="D5" s="292" t="s">
        <v>121</v>
      </c>
      <c r="E5" s="292" t="s">
        <v>122</v>
      </c>
      <c r="F5" s="292" t="s">
        <v>123</v>
      </c>
      <c r="G5" s="292" t="s">
        <v>124</v>
      </c>
      <c r="H5" s="292" t="s">
        <v>125</v>
      </c>
      <c r="I5" s="292" t="s">
        <v>126</v>
      </c>
      <c r="J5" s="292" t="s">
        <v>128</v>
      </c>
      <c r="K5" s="292" t="s">
        <v>15</v>
      </c>
      <c r="L5" s="292" t="s">
        <v>129</v>
      </c>
      <c r="M5" s="292" t="s">
        <v>130</v>
      </c>
      <c r="N5" s="292" t="s">
        <v>131</v>
      </c>
      <c r="O5" s="292" t="s">
        <v>132</v>
      </c>
      <c r="P5" s="294" t="s">
        <v>133</v>
      </c>
      <c r="Q5" s="294" t="s">
        <v>134</v>
      </c>
      <c r="R5" s="292" t="s">
        <v>135</v>
      </c>
      <c r="S5" s="292"/>
      <c r="T5" s="177" t="s">
        <v>203</v>
      </c>
      <c r="U5" s="177"/>
      <c r="V5" s="177"/>
    </row>
    <row r="6" spans="1:22" ht="25.9" customHeight="1">
      <c r="A6" s="296"/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5"/>
      <c r="Q6" s="295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>
      <c r="A7" s="60">
        <v>524</v>
      </c>
      <c r="B7" s="60">
        <v>15</v>
      </c>
      <c r="C7" s="60">
        <v>997</v>
      </c>
      <c r="D7" s="60">
        <v>114</v>
      </c>
      <c r="E7" s="60">
        <v>113</v>
      </c>
      <c r="F7" s="60">
        <v>20.5</v>
      </c>
      <c r="G7" s="60">
        <v>28.5</v>
      </c>
      <c r="H7" s="60">
        <v>20.5</v>
      </c>
      <c r="I7" s="60">
        <v>22.5</v>
      </c>
      <c r="J7" s="119">
        <v>2093</v>
      </c>
      <c r="K7" s="119">
        <v>2090</v>
      </c>
      <c r="L7" s="119">
        <v>2093</v>
      </c>
      <c r="M7" s="119">
        <v>2090</v>
      </c>
      <c r="N7" s="119">
        <v>0</v>
      </c>
      <c r="O7" s="119">
        <v>0</v>
      </c>
      <c r="P7" s="119">
        <v>30</v>
      </c>
      <c r="Q7" s="119">
        <v>30</v>
      </c>
      <c r="R7" s="60"/>
      <c r="S7" s="60"/>
      <c r="T7" s="4"/>
      <c r="U7" s="4"/>
      <c r="V7" s="4"/>
    </row>
    <row r="8" spans="1:22" ht="18" customHeight="1">
      <c r="A8" s="60">
        <v>524</v>
      </c>
      <c r="B8" s="60">
        <v>14</v>
      </c>
      <c r="C8" s="60">
        <v>997</v>
      </c>
      <c r="D8" s="60">
        <v>114</v>
      </c>
      <c r="E8" s="60">
        <v>113</v>
      </c>
      <c r="F8" s="60">
        <v>20</v>
      </c>
      <c r="G8" s="60">
        <v>23</v>
      </c>
      <c r="H8" s="60">
        <v>20</v>
      </c>
      <c r="I8" s="60">
        <v>20</v>
      </c>
      <c r="J8" s="119">
        <v>2092</v>
      </c>
      <c r="K8" s="119">
        <v>2092</v>
      </c>
      <c r="L8" s="119">
        <v>2092</v>
      </c>
      <c r="M8" s="119">
        <v>2092</v>
      </c>
      <c r="N8" s="119">
        <v>25</v>
      </c>
      <c r="O8" s="119">
        <v>30</v>
      </c>
      <c r="P8" s="119">
        <v>30</v>
      </c>
      <c r="Q8" s="119">
        <v>30</v>
      </c>
      <c r="R8" s="60"/>
      <c r="S8" s="60"/>
      <c r="T8" s="4"/>
      <c r="U8" s="4"/>
      <c r="V8" s="4"/>
    </row>
    <row r="9" spans="1:22">
      <c r="A9" s="60">
        <v>524</v>
      </c>
      <c r="B9" s="60">
        <v>13</v>
      </c>
      <c r="C9" s="60">
        <v>998</v>
      </c>
      <c r="D9" s="60">
        <v>114</v>
      </c>
      <c r="E9" s="60">
        <v>113</v>
      </c>
      <c r="F9" s="60">
        <v>20</v>
      </c>
      <c r="G9" s="60">
        <v>24</v>
      </c>
      <c r="H9" s="60">
        <v>20</v>
      </c>
      <c r="I9" s="60">
        <v>25</v>
      </c>
      <c r="J9" s="119">
        <v>2090</v>
      </c>
      <c r="K9" s="119">
        <v>2087</v>
      </c>
      <c r="L9" s="119">
        <v>2092</v>
      </c>
      <c r="M9" s="119">
        <v>2098</v>
      </c>
      <c r="N9" s="119">
        <v>30</v>
      </c>
      <c r="O9" s="119">
        <v>30</v>
      </c>
      <c r="P9" s="119">
        <v>30</v>
      </c>
      <c r="Q9" s="119">
        <v>30</v>
      </c>
      <c r="R9" s="60"/>
      <c r="S9" s="60"/>
      <c r="T9" s="167">
        <v>20</v>
      </c>
      <c r="U9" s="167">
        <v>10</v>
      </c>
      <c r="V9" s="167">
        <v>20</v>
      </c>
    </row>
    <row r="10" spans="1:22">
      <c r="A10" s="60">
        <v>524</v>
      </c>
      <c r="B10" s="60">
        <v>12</v>
      </c>
      <c r="C10" s="60">
        <v>997</v>
      </c>
      <c r="D10" s="60">
        <v>114</v>
      </c>
      <c r="E10" s="60">
        <v>113</v>
      </c>
      <c r="F10" s="60">
        <v>28</v>
      </c>
      <c r="G10" s="60">
        <v>28</v>
      </c>
      <c r="H10" s="60">
        <v>20</v>
      </c>
      <c r="I10" s="60">
        <v>24</v>
      </c>
      <c r="J10" s="119">
        <v>2090</v>
      </c>
      <c r="K10" s="119">
        <v>2090</v>
      </c>
      <c r="L10" s="119">
        <v>2092</v>
      </c>
      <c r="M10" s="119">
        <v>2092</v>
      </c>
      <c r="N10" s="119">
        <v>26</v>
      </c>
      <c r="O10" s="119">
        <v>26</v>
      </c>
      <c r="P10" s="119">
        <v>30</v>
      </c>
      <c r="Q10" s="119">
        <v>30</v>
      </c>
      <c r="R10" s="60"/>
      <c r="S10" s="60"/>
      <c r="T10" s="167">
        <v>20</v>
      </c>
      <c r="U10" s="167">
        <v>10</v>
      </c>
      <c r="V10" s="167">
        <v>20</v>
      </c>
    </row>
    <row r="11" spans="1:22">
      <c r="A11" s="60">
        <v>524</v>
      </c>
      <c r="B11" s="60">
        <v>11</v>
      </c>
      <c r="C11" s="60">
        <v>997</v>
      </c>
      <c r="D11" s="60">
        <v>114</v>
      </c>
      <c r="E11" s="60">
        <v>113</v>
      </c>
      <c r="F11" s="60">
        <v>24</v>
      </c>
      <c r="G11" s="60">
        <v>30</v>
      </c>
      <c r="H11" s="60">
        <v>24</v>
      </c>
      <c r="I11" s="60">
        <v>25</v>
      </c>
      <c r="J11" s="119">
        <v>2099</v>
      </c>
      <c r="K11" s="119">
        <v>2090</v>
      </c>
      <c r="L11" s="119">
        <v>2099</v>
      </c>
      <c r="M11" s="119">
        <v>2092</v>
      </c>
      <c r="N11" s="119">
        <v>27</v>
      </c>
      <c r="O11" s="119">
        <v>27</v>
      </c>
      <c r="P11" s="119">
        <v>30</v>
      </c>
      <c r="Q11" s="119">
        <v>30</v>
      </c>
      <c r="R11" s="60"/>
      <c r="S11" s="60"/>
      <c r="T11" s="4"/>
      <c r="U11" s="4"/>
      <c r="V11" s="4"/>
    </row>
    <row r="12" spans="1:22">
      <c r="A12" s="60">
        <v>524</v>
      </c>
      <c r="B12" s="60">
        <v>10</v>
      </c>
      <c r="C12" s="60">
        <v>997</v>
      </c>
      <c r="D12" s="60">
        <v>114</v>
      </c>
      <c r="E12" s="60">
        <v>113</v>
      </c>
      <c r="F12" s="60">
        <v>20</v>
      </c>
      <c r="G12" s="60">
        <v>20</v>
      </c>
      <c r="H12" s="60">
        <v>20</v>
      </c>
      <c r="I12" s="60">
        <v>20</v>
      </c>
      <c r="J12" s="119">
        <v>2096</v>
      </c>
      <c r="K12" s="119">
        <v>2090</v>
      </c>
      <c r="L12" s="119">
        <v>2094</v>
      </c>
      <c r="M12" s="119">
        <v>2091</v>
      </c>
      <c r="N12" s="119">
        <v>29</v>
      </c>
      <c r="O12" s="119">
        <v>26</v>
      </c>
      <c r="P12" s="119">
        <v>30</v>
      </c>
      <c r="Q12" s="119">
        <v>30</v>
      </c>
      <c r="R12" s="60"/>
      <c r="S12" s="60"/>
      <c r="T12" s="4"/>
      <c r="U12" s="4"/>
      <c r="V12" s="4"/>
    </row>
    <row r="13" spans="1:22">
      <c r="A13" s="60">
        <v>524</v>
      </c>
      <c r="B13" s="60">
        <v>9</v>
      </c>
      <c r="C13" s="60">
        <v>997</v>
      </c>
      <c r="D13" s="60">
        <v>114</v>
      </c>
      <c r="E13" s="60">
        <v>113</v>
      </c>
      <c r="F13" s="60">
        <v>22</v>
      </c>
      <c r="G13" s="60">
        <v>22</v>
      </c>
      <c r="H13" s="60">
        <v>25</v>
      </c>
      <c r="I13" s="60">
        <v>25</v>
      </c>
      <c r="J13" s="119">
        <v>2090</v>
      </c>
      <c r="K13" s="119">
        <v>2090</v>
      </c>
      <c r="L13" s="119">
        <v>2090</v>
      </c>
      <c r="M13" s="119">
        <v>2090</v>
      </c>
      <c r="N13" s="119">
        <v>26</v>
      </c>
      <c r="O13" s="119">
        <v>26</v>
      </c>
      <c r="P13" s="119">
        <v>30</v>
      </c>
      <c r="Q13" s="119">
        <v>30</v>
      </c>
      <c r="R13" s="60"/>
      <c r="S13" s="60"/>
      <c r="T13" s="4"/>
      <c r="U13" s="4"/>
      <c r="V13" s="4"/>
    </row>
    <row r="14" spans="1:22">
      <c r="A14" s="60">
        <v>524</v>
      </c>
      <c r="B14" s="60">
        <v>8</v>
      </c>
      <c r="C14" s="60">
        <v>998</v>
      </c>
      <c r="D14" s="60">
        <v>114</v>
      </c>
      <c r="E14" s="60">
        <v>113</v>
      </c>
      <c r="F14" s="60">
        <v>21</v>
      </c>
      <c r="G14" s="60">
        <v>21</v>
      </c>
      <c r="H14" s="60">
        <v>20</v>
      </c>
      <c r="I14" s="60">
        <v>20</v>
      </c>
      <c r="J14" s="119">
        <v>2093</v>
      </c>
      <c r="K14" s="119">
        <v>2089</v>
      </c>
      <c r="L14" s="119">
        <v>2091</v>
      </c>
      <c r="M14" s="119">
        <v>2091</v>
      </c>
      <c r="N14" s="119">
        <v>23</v>
      </c>
      <c r="O14" s="119">
        <v>23</v>
      </c>
      <c r="P14" s="119">
        <v>30</v>
      </c>
      <c r="Q14" s="119">
        <v>30</v>
      </c>
      <c r="R14" s="60"/>
      <c r="S14" s="60"/>
      <c r="T14" s="4"/>
      <c r="U14" s="4"/>
      <c r="V14" s="4"/>
    </row>
    <row r="15" spans="1:22">
      <c r="A15" s="60">
        <v>524</v>
      </c>
      <c r="B15" s="60">
        <v>7</v>
      </c>
      <c r="C15" s="60">
        <v>998</v>
      </c>
      <c r="D15" s="60">
        <v>114</v>
      </c>
      <c r="E15" s="60">
        <v>113</v>
      </c>
      <c r="F15" s="60">
        <v>18</v>
      </c>
      <c r="G15" s="60">
        <v>18</v>
      </c>
      <c r="H15" s="60">
        <v>20</v>
      </c>
      <c r="I15" s="60">
        <v>20</v>
      </c>
      <c r="J15" s="119">
        <v>2090</v>
      </c>
      <c r="K15" s="119">
        <v>2090</v>
      </c>
      <c r="L15" s="119">
        <v>2092</v>
      </c>
      <c r="M15" s="119">
        <v>2092</v>
      </c>
      <c r="N15" s="119">
        <v>22</v>
      </c>
      <c r="O15" s="119">
        <v>22</v>
      </c>
      <c r="P15" s="119">
        <v>30</v>
      </c>
      <c r="Q15" s="119">
        <v>30</v>
      </c>
      <c r="R15" s="60"/>
      <c r="S15" s="60"/>
      <c r="T15" s="4"/>
      <c r="U15" s="4"/>
      <c r="V15" s="4"/>
    </row>
    <row r="16" spans="1:22">
      <c r="A16" s="169">
        <v>524</v>
      </c>
      <c r="B16" s="169">
        <v>6</v>
      </c>
      <c r="C16" s="169">
        <v>997</v>
      </c>
      <c r="D16" s="169">
        <v>114</v>
      </c>
      <c r="E16" s="169">
        <v>113</v>
      </c>
      <c r="F16" s="169">
        <v>0</v>
      </c>
      <c r="G16" s="169">
        <v>0</v>
      </c>
      <c r="H16" s="169">
        <v>0</v>
      </c>
      <c r="I16" s="169">
        <v>0</v>
      </c>
      <c r="J16" s="119">
        <v>2093</v>
      </c>
      <c r="K16" s="119">
        <v>2090</v>
      </c>
      <c r="L16" s="119">
        <v>2093</v>
      </c>
      <c r="M16" s="119">
        <v>2090</v>
      </c>
      <c r="N16" s="119">
        <v>0</v>
      </c>
      <c r="O16" s="119">
        <v>0</v>
      </c>
      <c r="P16" s="119">
        <v>30</v>
      </c>
      <c r="Q16" s="119">
        <v>30</v>
      </c>
      <c r="R16" s="60"/>
      <c r="S16" s="60"/>
      <c r="T16" s="4"/>
      <c r="U16" s="4"/>
      <c r="V16" s="4"/>
    </row>
    <row r="17" spans="1:22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</sheetData>
  <mergeCells count="20"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  <pageSetUpPr fitToPage="1"/>
  </sheetPr>
  <dimension ref="A1:AH16"/>
  <sheetViews>
    <sheetView tabSelected="1" zoomScale="85" zoomScaleNormal="85" workbookViewId="0">
      <selection activeCell="J16" sqref="J16"/>
    </sheetView>
  </sheetViews>
  <sheetFormatPr defaultRowHeight="16.5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>
      <c r="A1" s="174" t="str">
        <f>정보!B1 &amp; " (쪽쟘제작치수)  " &amp; 정보!B6 &amp;" 소장"</f>
        <v>경기도 부천 은하마을 주공1단지아파트-3차 (쪽쟘제작치수)  김운호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>
      <c r="A2" s="1"/>
      <c r="B2" s="1"/>
      <c r="C2" s="297" t="str">
        <f>"총 : " &amp; COUNTA(A7:A105) &amp;" (SET)"</f>
        <v>총 : 10 (SET)</v>
      </c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8" t="s">
        <v>139</v>
      </c>
      <c r="Q2" s="299"/>
      <c r="R2" s="299"/>
      <c r="S2" s="299"/>
      <c r="T2" s="61"/>
      <c r="U2" s="300">
        <v>1.2</v>
      </c>
      <c r="V2" s="300"/>
      <c r="W2" s="1"/>
      <c r="X2" s="1"/>
      <c r="Y2" s="1"/>
      <c r="Z2" s="1"/>
      <c r="AA2" s="1"/>
    </row>
    <row r="3" spans="1:34" ht="33" customHeight="1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301">
        <v>0</v>
      </c>
      <c r="J3" s="301"/>
      <c r="K3" s="63"/>
      <c r="L3" s="63"/>
      <c r="M3" s="256" t="s">
        <v>82</v>
      </c>
      <c r="N3" s="256"/>
      <c r="O3" s="256"/>
      <c r="P3" s="302">
        <v>0</v>
      </c>
      <c r="Q3" s="302"/>
      <c r="R3" s="253" t="s">
        <v>90</v>
      </c>
      <c r="S3" s="253"/>
      <c r="T3" s="64"/>
      <c r="U3" s="303">
        <v>0</v>
      </c>
      <c r="V3" s="303"/>
      <c r="W3" s="65"/>
      <c r="X3" s="65"/>
      <c r="Y3" s="65"/>
      <c r="Z3" s="65"/>
      <c r="AA3" s="65"/>
    </row>
    <row r="4" spans="1:34" ht="33" customHeight="1">
      <c r="A4" s="172" t="str">
        <f>정보!B12</f>
        <v>제작치수 반영 : JB/JD +(0 ),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238" t="s">
        <v>235</v>
      </c>
      <c r="Z4" s="238"/>
      <c r="AA4" s="239"/>
    </row>
    <row r="5" spans="1:34" ht="25.9" customHeight="1">
      <c r="A5" s="176" t="s">
        <v>0</v>
      </c>
      <c r="B5" s="176" t="s">
        <v>119</v>
      </c>
      <c r="C5" s="177" t="s">
        <v>142</v>
      </c>
      <c r="D5" s="176" t="s">
        <v>120</v>
      </c>
      <c r="E5" s="177" t="s">
        <v>143</v>
      </c>
      <c r="F5" s="177" t="s">
        <v>144</v>
      </c>
      <c r="G5" s="177" t="s">
        <v>34</v>
      </c>
      <c r="H5" s="177" t="s">
        <v>145</v>
      </c>
      <c r="I5" s="177" t="s">
        <v>207</v>
      </c>
      <c r="J5" s="177" t="s">
        <v>208</v>
      </c>
      <c r="K5" s="177" t="s">
        <v>146</v>
      </c>
      <c r="L5" s="177" t="s">
        <v>147</v>
      </c>
      <c r="M5" s="304" t="s">
        <v>148</v>
      </c>
      <c r="N5" s="304" t="s">
        <v>149</v>
      </c>
      <c r="O5" s="176" t="s">
        <v>127</v>
      </c>
      <c r="P5" s="176" t="s">
        <v>15</v>
      </c>
      <c r="Q5" s="176" t="s">
        <v>129</v>
      </c>
      <c r="R5" s="176" t="s">
        <v>130</v>
      </c>
      <c r="S5" s="177" t="s">
        <v>150</v>
      </c>
      <c r="T5" s="304" t="s">
        <v>151</v>
      </c>
      <c r="U5" s="177" t="s">
        <v>133</v>
      </c>
      <c r="V5" s="177" t="s">
        <v>152</v>
      </c>
      <c r="W5" s="176" t="s">
        <v>135</v>
      </c>
      <c r="X5" s="176"/>
      <c r="Y5" s="307" t="s">
        <v>203</v>
      </c>
      <c r="Z5" s="307"/>
      <c r="AA5" s="307"/>
      <c r="AE5" s="187" t="s">
        <v>153</v>
      </c>
      <c r="AF5" s="187"/>
      <c r="AG5" s="187" t="s">
        <v>154</v>
      </c>
      <c r="AH5" s="187"/>
    </row>
    <row r="6" spans="1:34" ht="36.75" customHeight="1">
      <c r="A6" s="218"/>
      <c r="B6" s="218"/>
      <c r="C6" s="218"/>
      <c r="D6" s="218"/>
      <c r="E6" s="218"/>
      <c r="F6" s="218"/>
      <c r="G6" s="218"/>
      <c r="H6" s="218"/>
      <c r="I6" s="218"/>
      <c r="J6" s="218"/>
      <c r="K6" s="246"/>
      <c r="L6" s="246"/>
      <c r="M6" s="305"/>
      <c r="N6" s="305"/>
      <c r="O6" s="218"/>
      <c r="P6" s="218"/>
      <c r="Q6" s="218"/>
      <c r="R6" s="218"/>
      <c r="S6" s="218"/>
      <c r="T6" s="306"/>
      <c r="U6" s="246"/>
      <c r="V6" s="246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>
      <c r="A7" s="50">
        <f>'쪽쟘(실측)'!A7</f>
        <v>524</v>
      </c>
      <c r="B7" s="50" t="str">
        <f>'쪽쟘(실측)'!B7&amp;"F"</f>
        <v>15F</v>
      </c>
      <c r="C7" s="50" t="str">
        <f>AC7&amp;"*"&amp;AD7</f>
        <v>1032*140.4</v>
      </c>
      <c r="D7" s="50">
        <f>'쪽쟘(실측)'!C7-쪽쟘OP차감</f>
        <v>997</v>
      </c>
      <c r="E7" s="50">
        <f>'쪽쟘(실측)'!D7+쪽쟘J늘림+MAX(W7:X7)</f>
        <v>114</v>
      </c>
      <c r="F7" s="50">
        <f>'쪽쟘(실측)'!E7+쪽쟘J늘림+MAX(W7:X7)</f>
        <v>113</v>
      </c>
      <c r="G7" s="67" t="str">
        <f>AF7&amp;"*"&amp;AE7</f>
        <v>2093*167.9</v>
      </c>
      <c r="H7" s="68" t="str">
        <f>AH7&amp;"*"&amp;AG7</f>
        <v>2093*161.9</v>
      </c>
      <c r="I7" s="50">
        <f>IF('쪽쟘(실측)'!F7&gt;0,'쪽쟘(실측)'!F7-3,0)+뒷날개치수더함</f>
        <v>17.5</v>
      </c>
      <c r="J7" s="50">
        <f>IF('쪽쟘(실측)'!H7&gt;0,'쪽쟘(실측)'!H7-3,0)+뒷날개치수더함</f>
        <v>17.5</v>
      </c>
      <c r="K7" s="50">
        <f>IF('쪽쟘(실측)'!F7&gt;0,'쪽쟘(실측)'!F7+0,0)+뒷날개치수더함</f>
        <v>20.5</v>
      </c>
      <c r="L7" s="50">
        <f>IF('쪽쟘(실측)'!G7&gt;0,'쪽쟘(실측)'!G7+0,0)+뒷날개치수더함</f>
        <v>28.5</v>
      </c>
      <c r="M7" s="50">
        <f>IF('쪽쟘(실측)'!H7&gt;0,'쪽쟘(실측)'!H7+0,0)+뒷날개치수더함</f>
        <v>20.5</v>
      </c>
      <c r="N7" s="50">
        <f>IF('쪽쟘(실측)'!I7&gt;0,'쪽쟘(실측)'!I7+0,0)+뒷날개치수더함</f>
        <v>22.5</v>
      </c>
      <c r="O7" s="50">
        <f>'쪽쟘(실측)'!J7-쪽쟘기둥차감</f>
        <v>2093</v>
      </c>
      <c r="P7" s="50">
        <f>'쪽쟘(실측)'!K7-쪽쟘기둥차감</f>
        <v>2090</v>
      </c>
      <c r="Q7" s="50">
        <f>'쪽쟘(실측)'!L7-쪽쟘기둥차감</f>
        <v>2093</v>
      </c>
      <c r="R7" s="50">
        <f>'쪽쟘(실측)'!M7-쪽쟘기둥차감</f>
        <v>2090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30</v>
      </c>
      <c r="V7" s="50">
        <f>'쪽쟘(실측)'!Q7+뒷날개치수더함</f>
        <v>30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1032</v>
      </c>
      <c r="AD7">
        <f t="shared" ref="AD7" si="1">U7+E7+MAX(S7,T7)-쪽쟘소재t*3+IF(S7=0,S7*쪽쟘소재t,0)</f>
        <v>140.4</v>
      </c>
      <c r="AE7">
        <f t="shared" ref="AE7:AE15" si="2">MAX(K7,L7)+F7+V7-쪽쟘소재t*3+IF(K7=0,쪽쟘소재t)-IF(AA7=90,2.4,0)</f>
        <v>167.9</v>
      </c>
      <c r="AF7">
        <f t="shared" ref="AF7" si="3">MAX(O7,P7)</f>
        <v>2093</v>
      </c>
      <c r="AG7">
        <f t="shared" ref="AG7:AG15" si="4">MAX(M7,N7)+F7+V7-쪽쟘소재t*3+IF(M7=0,쪽쟘소재t)-IF(AA7=90,2.4,0)</f>
        <v>161.9</v>
      </c>
      <c r="AH7">
        <f>MAX(Q7,R7)</f>
        <v>2093</v>
      </c>
    </row>
    <row r="8" spans="1:34" ht="19.5" customHeight="1">
      <c r="A8" s="50">
        <f>'쪽쟘(실측)'!A8</f>
        <v>524</v>
      </c>
      <c r="B8" s="50" t="str">
        <f>'쪽쟘(실측)'!B8&amp;"F"</f>
        <v>14F</v>
      </c>
      <c r="C8" s="50" t="str">
        <f t="shared" ref="C8:C15" si="5">AC8&amp;"*"&amp;AD8</f>
        <v>1031*170.4</v>
      </c>
      <c r="D8" s="50">
        <f>'쪽쟘(실측)'!C8-쪽쟘OP차감</f>
        <v>997</v>
      </c>
      <c r="E8" s="50">
        <f>'쪽쟘(실측)'!D8+쪽쟘J늘림+MAX(W8:X8)</f>
        <v>114</v>
      </c>
      <c r="F8" s="50">
        <f>'쪽쟘(실측)'!E8+쪽쟘J늘림+MAX(W8:X8)</f>
        <v>113</v>
      </c>
      <c r="G8" s="67" t="str">
        <f t="shared" ref="G8:G15" si="6">AF8&amp;"*"&amp;AE8</f>
        <v>2092*162.4</v>
      </c>
      <c r="H8" s="68" t="str">
        <f t="shared" ref="H8:H15" si="7">AH8&amp;"*"&amp;AG8</f>
        <v>2092*159.4</v>
      </c>
      <c r="I8" s="50">
        <f>IF('쪽쟘(실측)'!F8&gt;0,'쪽쟘(실측)'!F8-3,0)+뒷날개치수더함</f>
        <v>17</v>
      </c>
      <c r="J8" s="50">
        <f>IF('쪽쟘(실측)'!H8&gt;0,'쪽쟘(실측)'!H8-3,0)+뒷날개치수더함</f>
        <v>17</v>
      </c>
      <c r="K8" s="50">
        <f>IF('쪽쟘(실측)'!F8&gt;0,'쪽쟘(실측)'!F8+0,0)+뒷날개치수더함</f>
        <v>20</v>
      </c>
      <c r="L8" s="50">
        <f>IF('쪽쟘(실측)'!G8&gt;0,'쪽쟘(실측)'!G8+0,0)+뒷날개치수더함</f>
        <v>23</v>
      </c>
      <c r="M8" s="50">
        <f>IF('쪽쟘(실측)'!H8&gt;0,'쪽쟘(실측)'!H8+0,0)+뒷날개치수더함</f>
        <v>20</v>
      </c>
      <c r="N8" s="50">
        <f>IF('쪽쟘(실측)'!I8&gt;0,'쪽쟘(실측)'!I8+0,0)+뒷날개치수더함</f>
        <v>20</v>
      </c>
      <c r="O8" s="50">
        <f>'쪽쟘(실측)'!J8-쪽쟘기둥차감</f>
        <v>2092</v>
      </c>
      <c r="P8" s="50">
        <f>'쪽쟘(실측)'!K8-쪽쟘기둥차감</f>
        <v>2092</v>
      </c>
      <c r="Q8" s="50">
        <f>'쪽쟘(실측)'!L8-쪽쟘기둥차감</f>
        <v>2092</v>
      </c>
      <c r="R8" s="50">
        <f>'쪽쟘(실측)'!M8-쪽쟘기둥차감</f>
        <v>2092</v>
      </c>
      <c r="S8" s="50">
        <f>'쪽쟘(실측)'!N8+뒷날개치수더함</f>
        <v>25</v>
      </c>
      <c r="T8" s="50">
        <f>'쪽쟘(실측)'!O8+뒷날개치수더함</f>
        <v>30</v>
      </c>
      <c r="U8" s="50">
        <f>'쪽쟘(실측)'!P8+뒷날개치수더함</f>
        <v>30</v>
      </c>
      <c r="V8" s="50">
        <f>'쪽쟘(실측)'!Q8+뒷날개치수더함</f>
        <v>30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15" si="8">D8+I8+J8</f>
        <v>1031</v>
      </c>
      <c r="AD8">
        <f t="shared" ref="AD8:AD15" si="9">U8+E8+MAX(S8,T8)-쪽쟘소재t*3+IF(S8=0,S8*쪽쟘소재t,0)</f>
        <v>170.4</v>
      </c>
      <c r="AE8">
        <f t="shared" si="2"/>
        <v>162.4</v>
      </c>
      <c r="AF8">
        <f t="shared" ref="AF8:AF15" si="10">MAX(O8,P8)</f>
        <v>2092</v>
      </c>
      <c r="AG8">
        <f t="shared" si="4"/>
        <v>159.4</v>
      </c>
      <c r="AH8">
        <f t="shared" ref="AH8:AH15" si="11">MAX(Q8,R8)</f>
        <v>2092</v>
      </c>
    </row>
    <row r="9" spans="1:34" ht="19.5" customHeight="1">
      <c r="A9" s="50">
        <f>'쪽쟘(실측)'!A9</f>
        <v>524</v>
      </c>
      <c r="B9" s="50" t="str">
        <f>'쪽쟘(실측)'!B9&amp;"F"</f>
        <v>13F</v>
      </c>
      <c r="C9" s="50" t="str">
        <f t="shared" si="5"/>
        <v>1032*170.4</v>
      </c>
      <c r="D9" s="50">
        <f>'쪽쟘(실측)'!C9-쪽쟘OP차감</f>
        <v>998</v>
      </c>
      <c r="E9" s="50">
        <f>'쪽쟘(실측)'!D9+쪽쟘J늘림+MAX(W9:X9)</f>
        <v>114</v>
      </c>
      <c r="F9" s="50">
        <f>'쪽쟘(실측)'!E9+쪽쟘J늘림+MAX(W9:X9)</f>
        <v>113</v>
      </c>
      <c r="G9" s="67" t="str">
        <f t="shared" si="6"/>
        <v>2090*163.4</v>
      </c>
      <c r="H9" s="68" t="str">
        <f t="shared" si="7"/>
        <v>2098*164.4</v>
      </c>
      <c r="I9" s="50">
        <f>IF('쪽쟘(실측)'!F9&gt;0,'쪽쟘(실측)'!F9-3,0)+뒷날개치수더함</f>
        <v>17</v>
      </c>
      <c r="J9" s="50">
        <f>IF('쪽쟘(실측)'!H9&gt;0,'쪽쟘(실측)'!H9-3,0)+뒷날개치수더함</f>
        <v>17</v>
      </c>
      <c r="K9" s="50">
        <f>IF('쪽쟘(실측)'!F9&gt;0,'쪽쟘(실측)'!F9+0,0)+뒷날개치수더함</f>
        <v>20</v>
      </c>
      <c r="L9" s="50">
        <f>IF('쪽쟘(실측)'!G9&gt;0,'쪽쟘(실측)'!G9+0,0)+뒷날개치수더함</f>
        <v>24</v>
      </c>
      <c r="M9" s="50">
        <f>IF('쪽쟘(실측)'!H9&gt;0,'쪽쟘(실측)'!H9+0,0)+뒷날개치수더함</f>
        <v>20</v>
      </c>
      <c r="N9" s="50">
        <f>IF('쪽쟘(실측)'!I9&gt;0,'쪽쟘(실측)'!I9+0,0)+뒷날개치수더함</f>
        <v>25</v>
      </c>
      <c r="O9" s="50">
        <f>'쪽쟘(실측)'!J9-쪽쟘기둥차감</f>
        <v>2090</v>
      </c>
      <c r="P9" s="50">
        <f>'쪽쟘(실측)'!K9-쪽쟘기둥차감</f>
        <v>2087</v>
      </c>
      <c r="Q9" s="50">
        <f>'쪽쟘(실측)'!L9-쪽쟘기둥차감</f>
        <v>2092</v>
      </c>
      <c r="R9" s="50">
        <f>'쪽쟘(실측)'!M9-쪽쟘기둥차감</f>
        <v>2098</v>
      </c>
      <c r="S9" s="50">
        <f>'쪽쟘(실측)'!N9+뒷날개치수더함</f>
        <v>30</v>
      </c>
      <c r="T9" s="50">
        <f>'쪽쟘(실측)'!O9+뒷날개치수더함</f>
        <v>30</v>
      </c>
      <c r="U9" s="50">
        <f>'쪽쟘(실측)'!P9+뒷날개치수더함</f>
        <v>30</v>
      </c>
      <c r="V9" s="50">
        <f>'쪽쟘(실측)'!Q9+뒷날개치수더함</f>
        <v>30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20</v>
      </c>
      <c r="Z9" s="4">
        <f>'쪽쟘(실측)'!U9</f>
        <v>10</v>
      </c>
      <c r="AA9" s="4">
        <f>'쪽쟘(실측)'!V9</f>
        <v>20</v>
      </c>
      <c r="AC9">
        <f t="shared" si="8"/>
        <v>1032</v>
      </c>
      <c r="AD9">
        <f t="shared" si="9"/>
        <v>170.4</v>
      </c>
      <c r="AE9">
        <f t="shared" si="2"/>
        <v>163.4</v>
      </c>
      <c r="AF9">
        <f t="shared" si="10"/>
        <v>2090</v>
      </c>
      <c r="AG9">
        <f t="shared" si="4"/>
        <v>164.4</v>
      </c>
      <c r="AH9">
        <f t="shared" si="11"/>
        <v>2098</v>
      </c>
    </row>
    <row r="10" spans="1:34" ht="19.5" customHeight="1">
      <c r="A10" s="50">
        <f>'쪽쟘(실측)'!A10</f>
        <v>524</v>
      </c>
      <c r="B10" s="50" t="str">
        <f>'쪽쟘(실측)'!B10&amp;"F"</f>
        <v>12F</v>
      </c>
      <c r="C10" s="50" t="str">
        <f t="shared" si="5"/>
        <v>1039*166.4</v>
      </c>
      <c r="D10" s="50">
        <f>'쪽쟘(실측)'!C10-쪽쟘OP차감</f>
        <v>997</v>
      </c>
      <c r="E10" s="50">
        <f>'쪽쟘(실측)'!D10+쪽쟘J늘림+MAX(W10:X10)</f>
        <v>114</v>
      </c>
      <c r="F10" s="50">
        <f>'쪽쟘(실측)'!E10+쪽쟘J늘림+MAX(W10:X10)</f>
        <v>113</v>
      </c>
      <c r="G10" s="67" t="str">
        <f t="shared" si="6"/>
        <v>2090*167.4</v>
      </c>
      <c r="H10" s="68" t="str">
        <f t="shared" si="7"/>
        <v>2092*163.4</v>
      </c>
      <c r="I10" s="50">
        <f>IF('쪽쟘(실측)'!F10&gt;0,'쪽쟘(실측)'!F10-3,0)+뒷날개치수더함</f>
        <v>25</v>
      </c>
      <c r="J10" s="50">
        <f>IF('쪽쟘(실측)'!H10&gt;0,'쪽쟘(실측)'!H10-3,0)+뒷날개치수더함</f>
        <v>17</v>
      </c>
      <c r="K10" s="50">
        <f>IF('쪽쟘(실측)'!F10&gt;0,'쪽쟘(실측)'!F10+0,0)+뒷날개치수더함</f>
        <v>28</v>
      </c>
      <c r="L10" s="50">
        <f>IF('쪽쟘(실측)'!G10&gt;0,'쪽쟘(실측)'!G10+0,0)+뒷날개치수더함</f>
        <v>28</v>
      </c>
      <c r="M10" s="50">
        <f>IF('쪽쟘(실측)'!H10&gt;0,'쪽쟘(실측)'!H10+0,0)+뒷날개치수더함</f>
        <v>20</v>
      </c>
      <c r="N10" s="50">
        <f>IF('쪽쟘(실측)'!I10&gt;0,'쪽쟘(실측)'!I10+0,0)+뒷날개치수더함</f>
        <v>24</v>
      </c>
      <c r="O10" s="50">
        <f>'쪽쟘(실측)'!J10-쪽쟘기둥차감</f>
        <v>2090</v>
      </c>
      <c r="P10" s="50">
        <f>'쪽쟘(실측)'!K10-쪽쟘기둥차감</f>
        <v>2090</v>
      </c>
      <c r="Q10" s="50">
        <f>'쪽쟘(실측)'!L10-쪽쟘기둥차감</f>
        <v>2092</v>
      </c>
      <c r="R10" s="50">
        <f>'쪽쟘(실측)'!M10-쪽쟘기둥차감</f>
        <v>2092</v>
      </c>
      <c r="S10" s="50">
        <f>'쪽쟘(실측)'!N10+뒷날개치수더함</f>
        <v>26</v>
      </c>
      <c r="T10" s="50">
        <f>'쪽쟘(실측)'!O10+뒷날개치수더함</f>
        <v>26</v>
      </c>
      <c r="U10" s="50">
        <f>'쪽쟘(실측)'!P10+뒷날개치수더함</f>
        <v>30</v>
      </c>
      <c r="V10" s="50">
        <f>'쪽쟘(실측)'!Q10+뒷날개치수더함</f>
        <v>30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20</v>
      </c>
      <c r="Z10" s="4">
        <f>'쪽쟘(실측)'!U10</f>
        <v>10</v>
      </c>
      <c r="AA10" s="4">
        <f>'쪽쟘(실측)'!V10</f>
        <v>20</v>
      </c>
      <c r="AC10">
        <f t="shared" si="8"/>
        <v>1039</v>
      </c>
      <c r="AD10">
        <f t="shared" si="9"/>
        <v>166.4</v>
      </c>
      <c r="AE10">
        <f t="shared" si="2"/>
        <v>167.4</v>
      </c>
      <c r="AF10">
        <f t="shared" si="10"/>
        <v>2090</v>
      </c>
      <c r="AG10">
        <f t="shared" si="4"/>
        <v>163.4</v>
      </c>
      <c r="AH10">
        <f t="shared" si="11"/>
        <v>2092</v>
      </c>
    </row>
    <row r="11" spans="1:34" ht="19.5" customHeight="1">
      <c r="A11" s="50">
        <f>'쪽쟘(실측)'!A11</f>
        <v>524</v>
      </c>
      <c r="B11" s="50" t="str">
        <f>'쪽쟘(실측)'!B11&amp;"F"</f>
        <v>11F</v>
      </c>
      <c r="C11" s="50" t="str">
        <f t="shared" si="5"/>
        <v>1039*167.4</v>
      </c>
      <c r="D11" s="50">
        <f>'쪽쟘(실측)'!C11-쪽쟘OP차감</f>
        <v>997</v>
      </c>
      <c r="E11" s="50">
        <f>'쪽쟘(실측)'!D11+쪽쟘J늘림+MAX(W11:X11)</f>
        <v>114</v>
      </c>
      <c r="F11" s="50">
        <f>'쪽쟘(실측)'!E11+쪽쟘J늘림+MAX(W11:X11)</f>
        <v>113</v>
      </c>
      <c r="G11" s="67" t="str">
        <f t="shared" si="6"/>
        <v>2099*169.4</v>
      </c>
      <c r="H11" s="68" t="str">
        <f t="shared" si="7"/>
        <v>2099*164.4</v>
      </c>
      <c r="I11" s="50">
        <f>IF('쪽쟘(실측)'!F11&gt;0,'쪽쟘(실측)'!F11-3,0)+뒷날개치수더함</f>
        <v>21</v>
      </c>
      <c r="J11" s="50">
        <f>IF('쪽쟘(실측)'!H11&gt;0,'쪽쟘(실측)'!H11-3,0)+뒷날개치수더함</f>
        <v>21</v>
      </c>
      <c r="K11" s="50">
        <f>IF('쪽쟘(실측)'!F11&gt;0,'쪽쟘(실측)'!F11+0,0)+뒷날개치수더함</f>
        <v>24</v>
      </c>
      <c r="L11" s="50">
        <f>IF('쪽쟘(실측)'!G11&gt;0,'쪽쟘(실측)'!G11+0,0)+뒷날개치수더함</f>
        <v>30</v>
      </c>
      <c r="M11" s="50">
        <f>IF('쪽쟘(실측)'!H11&gt;0,'쪽쟘(실측)'!H11+0,0)+뒷날개치수더함</f>
        <v>24</v>
      </c>
      <c r="N11" s="50">
        <f>IF('쪽쟘(실측)'!I11&gt;0,'쪽쟘(실측)'!I11+0,0)+뒷날개치수더함</f>
        <v>25</v>
      </c>
      <c r="O11" s="50">
        <f>'쪽쟘(실측)'!J11-쪽쟘기둥차감</f>
        <v>2099</v>
      </c>
      <c r="P11" s="50">
        <f>'쪽쟘(실측)'!K11-쪽쟘기둥차감</f>
        <v>2090</v>
      </c>
      <c r="Q11" s="50">
        <f>'쪽쟘(실측)'!L11-쪽쟘기둥차감</f>
        <v>2099</v>
      </c>
      <c r="R11" s="50">
        <f>'쪽쟘(실측)'!M11-쪽쟘기둥차감</f>
        <v>2092</v>
      </c>
      <c r="S11" s="50">
        <f>'쪽쟘(실측)'!N11+뒷날개치수더함</f>
        <v>27</v>
      </c>
      <c r="T11" s="50">
        <f>'쪽쟘(실측)'!O11+뒷날개치수더함</f>
        <v>27</v>
      </c>
      <c r="U11" s="50">
        <f>'쪽쟘(실측)'!P11+뒷날개치수더함</f>
        <v>30</v>
      </c>
      <c r="V11" s="50">
        <f>'쪽쟘(실측)'!Q11+뒷날개치수더함</f>
        <v>30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1039</v>
      </c>
      <c r="AD11">
        <f t="shared" si="9"/>
        <v>167.4</v>
      </c>
      <c r="AE11">
        <f t="shared" si="2"/>
        <v>169.4</v>
      </c>
      <c r="AF11">
        <f t="shared" si="10"/>
        <v>2099</v>
      </c>
      <c r="AG11">
        <f t="shared" si="4"/>
        <v>164.4</v>
      </c>
      <c r="AH11">
        <f t="shared" si="11"/>
        <v>2099</v>
      </c>
    </row>
    <row r="12" spans="1:34" ht="19.5" customHeight="1">
      <c r="A12" s="50">
        <f>'쪽쟘(실측)'!A12</f>
        <v>524</v>
      </c>
      <c r="B12" s="50" t="str">
        <f>'쪽쟘(실측)'!B12&amp;"F"</f>
        <v>10F</v>
      </c>
      <c r="C12" s="50" t="str">
        <f t="shared" si="5"/>
        <v>1031*169.4</v>
      </c>
      <c r="D12" s="50">
        <f>'쪽쟘(실측)'!C12-쪽쟘OP차감</f>
        <v>997</v>
      </c>
      <c r="E12" s="50">
        <f>'쪽쟘(실측)'!D12+쪽쟘J늘림+MAX(W12:X12)</f>
        <v>114</v>
      </c>
      <c r="F12" s="50">
        <f>'쪽쟘(실측)'!E12+쪽쟘J늘림+MAX(W12:X12)</f>
        <v>113</v>
      </c>
      <c r="G12" s="67" t="str">
        <f t="shared" si="6"/>
        <v>2096*159.4</v>
      </c>
      <c r="H12" s="68" t="str">
        <f t="shared" si="7"/>
        <v>2094*159.4</v>
      </c>
      <c r="I12" s="50">
        <f>IF('쪽쟘(실측)'!F12&gt;0,'쪽쟘(실측)'!F12-3,0)+뒷날개치수더함</f>
        <v>17</v>
      </c>
      <c r="J12" s="50">
        <f>IF('쪽쟘(실측)'!H12&gt;0,'쪽쟘(실측)'!H12-3,0)+뒷날개치수더함</f>
        <v>17</v>
      </c>
      <c r="K12" s="50">
        <f>IF('쪽쟘(실측)'!F12&gt;0,'쪽쟘(실측)'!F12+0,0)+뒷날개치수더함</f>
        <v>20</v>
      </c>
      <c r="L12" s="50">
        <f>IF('쪽쟘(실측)'!G12&gt;0,'쪽쟘(실측)'!G12+0,0)+뒷날개치수더함</f>
        <v>20</v>
      </c>
      <c r="M12" s="50">
        <f>IF('쪽쟘(실측)'!H12&gt;0,'쪽쟘(실측)'!H12+0,0)+뒷날개치수더함</f>
        <v>20</v>
      </c>
      <c r="N12" s="50">
        <f>IF('쪽쟘(실측)'!I12&gt;0,'쪽쟘(실측)'!I12+0,0)+뒷날개치수더함</f>
        <v>20</v>
      </c>
      <c r="O12" s="50">
        <f>'쪽쟘(실측)'!J12-쪽쟘기둥차감</f>
        <v>2096</v>
      </c>
      <c r="P12" s="50">
        <f>'쪽쟘(실측)'!K12-쪽쟘기둥차감</f>
        <v>2090</v>
      </c>
      <c r="Q12" s="50">
        <f>'쪽쟘(실측)'!L12-쪽쟘기둥차감</f>
        <v>2094</v>
      </c>
      <c r="R12" s="50">
        <f>'쪽쟘(실측)'!M12-쪽쟘기둥차감</f>
        <v>2091</v>
      </c>
      <c r="S12" s="50">
        <f>'쪽쟘(실측)'!N12+뒷날개치수더함</f>
        <v>29</v>
      </c>
      <c r="T12" s="50">
        <f>'쪽쟘(실측)'!O12+뒷날개치수더함</f>
        <v>26</v>
      </c>
      <c r="U12" s="50">
        <f>'쪽쟘(실측)'!P12+뒷날개치수더함</f>
        <v>30</v>
      </c>
      <c r="V12" s="50">
        <f>'쪽쟘(실측)'!Q12+뒷날개치수더함</f>
        <v>30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1031</v>
      </c>
      <c r="AD12">
        <f t="shared" si="9"/>
        <v>169.4</v>
      </c>
      <c r="AE12">
        <f t="shared" si="2"/>
        <v>159.4</v>
      </c>
      <c r="AF12">
        <f t="shared" si="10"/>
        <v>2096</v>
      </c>
      <c r="AG12">
        <f t="shared" si="4"/>
        <v>159.4</v>
      </c>
      <c r="AH12">
        <f t="shared" si="11"/>
        <v>2094</v>
      </c>
    </row>
    <row r="13" spans="1:34" ht="19.5" customHeight="1">
      <c r="A13" s="50">
        <f>'쪽쟘(실측)'!A13</f>
        <v>524</v>
      </c>
      <c r="B13" s="50" t="str">
        <f>'쪽쟘(실측)'!B13&amp;"F"</f>
        <v>9F</v>
      </c>
      <c r="C13" s="50" t="str">
        <f t="shared" si="5"/>
        <v>1038*166.4</v>
      </c>
      <c r="D13" s="50">
        <f>'쪽쟘(실측)'!C13-쪽쟘OP차감</f>
        <v>997</v>
      </c>
      <c r="E13" s="50">
        <f>'쪽쟘(실측)'!D13+쪽쟘J늘림+MAX(W13:X13)</f>
        <v>114</v>
      </c>
      <c r="F13" s="50">
        <f>'쪽쟘(실측)'!E13+쪽쟘J늘림+MAX(W13:X13)</f>
        <v>113</v>
      </c>
      <c r="G13" s="67" t="str">
        <f t="shared" si="6"/>
        <v>2090*161.4</v>
      </c>
      <c r="H13" s="68" t="str">
        <f t="shared" si="7"/>
        <v>2090*164.4</v>
      </c>
      <c r="I13" s="50">
        <f>IF('쪽쟘(실측)'!F13&gt;0,'쪽쟘(실측)'!F13-3,0)+뒷날개치수더함</f>
        <v>19</v>
      </c>
      <c r="J13" s="50">
        <f>IF('쪽쟘(실측)'!H13&gt;0,'쪽쟘(실측)'!H13-3,0)+뒷날개치수더함</f>
        <v>22</v>
      </c>
      <c r="K13" s="50">
        <f>IF('쪽쟘(실측)'!F13&gt;0,'쪽쟘(실측)'!F13+0,0)+뒷날개치수더함</f>
        <v>22</v>
      </c>
      <c r="L13" s="50">
        <f>IF('쪽쟘(실측)'!G13&gt;0,'쪽쟘(실측)'!G13+0,0)+뒷날개치수더함</f>
        <v>22</v>
      </c>
      <c r="M13" s="50">
        <f>IF('쪽쟘(실측)'!H13&gt;0,'쪽쟘(실측)'!H13+0,0)+뒷날개치수더함</f>
        <v>25</v>
      </c>
      <c r="N13" s="50">
        <f>IF('쪽쟘(실측)'!I13&gt;0,'쪽쟘(실측)'!I13+0,0)+뒷날개치수더함</f>
        <v>25</v>
      </c>
      <c r="O13" s="50">
        <f>'쪽쟘(실측)'!J13-쪽쟘기둥차감</f>
        <v>2090</v>
      </c>
      <c r="P13" s="50">
        <f>'쪽쟘(실측)'!K13-쪽쟘기둥차감</f>
        <v>2090</v>
      </c>
      <c r="Q13" s="50">
        <f>'쪽쟘(실측)'!L13-쪽쟘기둥차감</f>
        <v>2090</v>
      </c>
      <c r="R13" s="50">
        <f>'쪽쟘(실측)'!M13-쪽쟘기둥차감</f>
        <v>2090</v>
      </c>
      <c r="S13" s="50">
        <f>'쪽쟘(실측)'!N13+뒷날개치수더함</f>
        <v>26</v>
      </c>
      <c r="T13" s="50">
        <f>'쪽쟘(실측)'!O13+뒷날개치수더함</f>
        <v>26</v>
      </c>
      <c r="U13" s="50">
        <f>'쪽쟘(실측)'!P13+뒷날개치수더함</f>
        <v>30</v>
      </c>
      <c r="V13" s="50">
        <f>'쪽쟘(실측)'!Q13+뒷날개치수더함</f>
        <v>30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1038</v>
      </c>
      <c r="AD13">
        <f t="shared" si="9"/>
        <v>166.4</v>
      </c>
      <c r="AE13">
        <f t="shared" si="2"/>
        <v>161.4</v>
      </c>
      <c r="AF13">
        <f t="shared" si="10"/>
        <v>2090</v>
      </c>
      <c r="AG13">
        <f t="shared" si="4"/>
        <v>164.4</v>
      </c>
      <c r="AH13">
        <f t="shared" si="11"/>
        <v>2090</v>
      </c>
    </row>
    <row r="14" spans="1:34" ht="19.5" customHeight="1">
      <c r="A14" s="50">
        <f>'쪽쟘(실측)'!A14</f>
        <v>524</v>
      </c>
      <c r="B14" s="50" t="str">
        <f>'쪽쟘(실측)'!B14&amp;"F"</f>
        <v>8F</v>
      </c>
      <c r="C14" s="50" t="str">
        <f t="shared" si="5"/>
        <v>1033*163.4</v>
      </c>
      <c r="D14" s="50">
        <f>'쪽쟘(실측)'!C14-쪽쟘OP차감</f>
        <v>998</v>
      </c>
      <c r="E14" s="50">
        <f>'쪽쟘(실측)'!D14+쪽쟘J늘림+MAX(W14:X14)</f>
        <v>114</v>
      </c>
      <c r="F14" s="50">
        <f>'쪽쟘(실측)'!E14+쪽쟘J늘림+MAX(W14:X14)</f>
        <v>113</v>
      </c>
      <c r="G14" s="67" t="str">
        <f t="shared" si="6"/>
        <v>2093*160.4</v>
      </c>
      <c r="H14" s="68" t="str">
        <f t="shared" si="7"/>
        <v>2091*159.4</v>
      </c>
      <c r="I14" s="50">
        <f>IF('쪽쟘(실측)'!F14&gt;0,'쪽쟘(실측)'!F14-3,0)+뒷날개치수더함</f>
        <v>18</v>
      </c>
      <c r="J14" s="50">
        <f>IF('쪽쟘(실측)'!H14&gt;0,'쪽쟘(실측)'!H14-3,0)+뒷날개치수더함</f>
        <v>17</v>
      </c>
      <c r="K14" s="50">
        <f>IF('쪽쟘(실측)'!F14&gt;0,'쪽쟘(실측)'!F14+0,0)+뒷날개치수더함</f>
        <v>21</v>
      </c>
      <c r="L14" s="50">
        <f>IF('쪽쟘(실측)'!G14&gt;0,'쪽쟘(실측)'!G14+0,0)+뒷날개치수더함</f>
        <v>21</v>
      </c>
      <c r="M14" s="50">
        <f>IF('쪽쟘(실측)'!H14&gt;0,'쪽쟘(실측)'!H14+0,0)+뒷날개치수더함</f>
        <v>20</v>
      </c>
      <c r="N14" s="50">
        <f>IF('쪽쟘(실측)'!I14&gt;0,'쪽쟘(실측)'!I14+0,0)+뒷날개치수더함</f>
        <v>20</v>
      </c>
      <c r="O14" s="50">
        <f>'쪽쟘(실측)'!J14-쪽쟘기둥차감</f>
        <v>2093</v>
      </c>
      <c r="P14" s="50">
        <f>'쪽쟘(실측)'!K14-쪽쟘기둥차감</f>
        <v>2089</v>
      </c>
      <c r="Q14" s="50">
        <f>'쪽쟘(실측)'!L14-쪽쟘기둥차감</f>
        <v>2091</v>
      </c>
      <c r="R14" s="50">
        <f>'쪽쟘(실측)'!M14-쪽쟘기둥차감</f>
        <v>2091</v>
      </c>
      <c r="S14" s="50">
        <f>'쪽쟘(실측)'!N14+뒷날개치수더함</f>
        <v>23</v>
      </c>
      <c r="T14" s="50">
        <f>'쪽쟘(실측)'!O14+뒷날개치수더함</f>
        <v>23</v>
      </c>
      <c r="U14" s="50">
        <f>'쪽쟘(실측)'!P14+뒷날개치수더함</f>
        <v>30</v>
      </c>
      <c r="V14" s="50">
        <f>'쪽쟘(실측)'!Q14+뒷날개치수더함</f>
        <v>30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1033</v>
      </c>
      <c r="AD14">
        <f t="shared" si="9"/>
        <v>163.4</v>
      </c>
      <c r="AE14">
        <f t="shared" si="2"/>
        <v>160.4</v>
      </c>
      <c r="AF14">
        <f t="shared" si="10"/>
        <v>2093</v>
      </c>
      <c r="AG14">
        <f t="shared" si="4"/>
        <v>159.4</v>
      </c>
      <c r="AH14">
        <f t="shared" si="11"/>
        <v>2091</v>
      </c>
    </row>
    <row r="15" spans="1:34" ht="19.5" customHeight="1">
      <c r="A15" s="50">
        <f>'쪽쟘(실측)'!A15</f>
        <v>524</v>
      </c>
      <c r="B15" s="50" t="str">
        <f>'쪽쟘(실측)'!B15&amp;"F"</f>
        <v>7F</v>
      </c>
      <c r="C15" s="50" t="str">
        <f t="shared" si="5"/>
        <v>1030*162.4</v>
      </c>
      <c r="D15" s="50">
        <f>'쪽쟘(실측)'!C15-쪽쟘OP차감</f>
        <v>998</v>
      </c>
      <c r="E15" s="50">
        <f>'쪽쟘(실측)'!D15+쪽쟘J늘림+MAX(W15:X15)</f>
        <v>114</v>
      </c>
      <c r="F15" s="50">
        <f>'쪽쟘(실측)'!E15+쪽쟘J늘림+MAX(W15:X15)</f>
        <v>113</v>
      </c>
      <c r="G15" s="67" t="str">
        <f t="shared" si="6"/>
        <v>2090*157.4</v>
      </c>
      <c r="H15" s="68" t="str">
        <f t="shared" si="7"/>
        <v>2092*159.4</v>
      </c>
      <c r="I15" s="50">
        <f>IF('쪽쟘(실측)'!F15&gt;0,'쪽쟘(실측)'!F15-3,0)+뒷날개치수더함</f>
        <v>15</v>
      </c>
      <c r="J15" s="50">
        <f>IF('쪽쟘(실측)'!H15&gt;0,'쪽쟘(실측)'!H15-3,0)+뒷날개치수더함</f>
        <v>17</v>
      </c>
      <c r="K15" s="50">
        <f>IF('쪽쟘(실측)'!F15&gt;0,'쪽쟘(실측)'!F15+0,0)+뒷날개치수더함</f>
        <v>18</v>
      </c>
      <c r="L15" s="50">
        <f>IF('쪽쟘(실측)'!G15&gt;0,'쪽쟘(실측)'!G15+0,0)+뒷날개치수더함</f>
        <v>18</v>
      </c>
      <c r="M15" s="50">
        <f>IF('쪽쟘(실측)'!H15&gt;0,'쪽쟘(실측)'!H15+0,0)+뒷날개치수더함</f>
        <v>20</v>
      </c>
      <c r="N15" s="50">
        <f>IF('쪽쟘(실측)'!I15&gt;0,'쪽쟘(실측)'!I15+0,0)+뒷날개치수더함</f>
        <v>20</v>
      </c>
      <c r="O15" s="50">
        <f>'쪽쟘(실측)'!J15-쪽쟘기둥차감</f>
        <v>2090</v>
      </c>
      <c r="P15" s="50">
        <f>'쪽쟘(실측)'!K15-쪽쟘기둥차감</f>
        <v>2090</v>
      </c>
      <c r="Q15" s="50">
        <f>'쪽쟘(실측)'!L15-쪽쟘기둥차감</f>
        <v>2092</v>
      </c>
      <c r="R15" s="50">
        <f>'쪽쟘(실측)'!M15-쪽쟘기둥차감</f>
        <v>2092</v>
      </c>
      <c r="S15" s="50">
        <f>'쪽쟘(실측)'!N15+뒷날개치수더함</f>
        <v>22</v>
      </c>
      <c r="T15" s="50">
        <f>'쪽쟘(실측)'!O15+뒷날개치수더함</f>
        <v>22</v>
      </c>
      <c r="U15" s="50">
        <f>'쪽쟘(실측)'!P15+뒷날개치수더함</f>
        <v>30</v>
      </c>
      <c r="V15" s="50">
        <f>'쪽쟘(실측)'!Q15+뒷날개치수더함</f>
        <v>30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1030</v>
      </c>
      <c r="AD15">
        <f t="shared" si="9"/>
        <v>162.4</v>
      </c>
      <c r="AE15">
        <f t="shared" si="2"/>
        <v>157.4</v>
      </c>
      <c r="AF15">
        <f t="shared" si="10"/>
        <v>2090</v>
      </c>
      <c r="AG15">
        <f t="shared" si="4"/>
        <v>159.4</v>
      </c>
      <c r="AH15">
        <f t="shared" si="11"/>
        <v>2092</v>
      </c>
    </row>
    <row r="16" spans="1:34">
      <c r="A16" s="50">
        <f>'쪽쟘(실측)'!A16</f>
        <v>524</v>
      </c>
      <c r="B16" s="50" t="str">
        <f>'쪽쟘(실측)'!B16&amp;"F"</f>
        <v>6F</v>
      </c>
      <c r="C16" s="50" t="str">
        <f t="shared" ref="C16" si="12">AC16&amp;"*"&amp;AD16</f>
        <v>997*140.4</v>
      </c>
      <c r="D16" s="50">
        <f>'쪽쟘(실측)'!C16-쪽쟘OP차감</f>
        <v>997</v>
      </c>
      <c r="E16" s="50">
        <f>'쪽쟘(실측)'!D16+쪽쟘J늘림+MAX(W16:X16)</f>
        <v>114</v>
      </c>
      <c r="F16" s="50">
        <f>'쪽쟘(실측)'!E16+쪽쟘J늘림+MAX(W16:X16)</f>
        <v>113</v>
      </c>
      <c r="G16" s="67" t="str">
        <f t="shared" ref="G16" si="13">AF16&amp;"*"&amp;AE16</f>
        <v>2093*140.6</v>
      </c>
      <c r="H16" s="68" t="str">
        <f t="shared" ref="H16" si="14">AH16&amp;"*"&amp;AG16</f>
        <v>2093*140.6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2093</v>
      </c>
      <c r="P16" s="50">
        <f>'쪽쟘(실측)'!K16-쪽쟘기둥차감</f>
        <v>2090</v>
      </c>
      <c r="Q16" s="50">
        <f>'쪽쟘(실측)'!L16-쪽쟘기둥차감</f>
        <v>2093</v>
      </c>
      <c r="R16" s="50">
        <f>'쪽쟘(실측)'!M16-쪽쟘기둥차감</f>
        <v>2090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30</v>
      </c>
      <c r="V16" s="50">
        <f>'쪽쟘(실측)'!Q16+뒷날개치수더함</f>
        <v>30</v>
      </c>
      <c r="W16" s="50">
        <f>'쪽쟘(실측)'!R16-쪽쟘늘치차감</f>
        <v>0</v>
      </c>
      <c r="X16" s="50">
        <f>'쪽쟘(실측)'!S16-쪽쟘늘치차감</f>
        <v>0</v>
      </c>
      <c r="Y16" s="168">
        <f>IF('쪽쟘(실측)'!T16&gt;5,'쪽쟘(실측)'!T16+뒷날개치수더함,0)</f>
        <v>0</v>
      </c>
      <c r="Z16" s="168">
        <f>'쪽쟘(실측)'!U16</f>
        <v>0</v>
      </c>
      <c r="AA16" s="168">
        <f>'쪽쟘(실측)'!V16</f>
        <v>0</v>
      </c>
      <c r="AC16">
        <f t="shared" ref="AC16" si="15">D16+I16+J16</f>
        <v>997</v>
      </c>
      <c r="AD16">
        <f t="shared" ref="AD16" si="16">U16+E16+MAX(S16,T16)-쪽쟘소재t*3+IF(S16=0,S16*쪽쟘소재t,0)</f>
        <v>140.4</v>
      </c>
      <c r="AE16">
        <f t="shared" ref="AE16" si="17">MAX(K16,L16)+F16+V16-쪽쟘소재t*3+IF(K16=0,쪽쟘소재t)-IF(AA16=90,2.4,0)</f>
        <v>140.6</v>
      </c>
      <c r="AF16">
        <f t="shared" ref="AF16" si="18">MAX(O16,P16)</f>
        <v>2093</v>
      </c>
      <c r="AG16">
        <f t="shared" ref="AG16" si="19">MAX(M16,N16)+F16+V16-쪽쟘소재t*3+IF(M16=0,쪽쟘소재t)-IF(AA16=90,2.4,0)</f>
        <v>140.6</v>
      </c>
      <c r="AH16">
        <f t="shared" ref="AH16" si="20">MAX(Q16,R16)</f>
        <v>2093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16 M7:M16 S7:S16">
    <cfRule type="cellIs" dxfId="58" priority="4" operator="notEqual">
      <formula>L7</formula>
    </cfRule>
  </conditionalFormatting>
  <conditionalFormatting sqref="L7:L16 N7:N16 T7:T16">
    <cfRule type="cellIs" dxfId="57" priority="3" operator="notEqual">
      <formula>K7</formula>
    </cfRule>
  </conditionalFormatting>
  <conditionalFormatting sqref="Y7:AA16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1" fitToHeight="2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E58"/>
  <sheetViews>
    <sheetView zoomScaleNormal="100" workbookViewId="0">
      <selection activeCell="A12" sqref="A12:H14"/>
    </sheetView>
  </sheetViews>
  <sheetFormatPr defaultRowHeight="16.5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>
      <c r="A1" s="308" t="str">
        <f>정보!B1&amp;" (제작치수 샤링작지) "&amp;정보!B6&amp;" 소장"</f>
        <v>경기도 부천 은하마을 주공1단지아파트-3차 (제작치수 샤링작지) 김운호 소장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</row>
    <row r="2" spans="1:31" ht="30.75" customHeight="1">
      <c r="A2" s="309" t="str">
        <f>"총 : " &amp; COUNTA(A7:A198) &amp;" (SET)"</f>
        <v>총 : 52 (SET)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298" t="s">
        <v>160</v>
      </c>
      <c r="Q2" s="299"/>
      <c r="R2" s="299"/>
      <c r="S2" s="299"/>
      <c r="T2" s="61"/>
      <c r="U2" s="300">
        <v>1.2</v>
      </c>
      <c r="V2" s="300"/>
      <c r="W2" s="1"/>
      <c r="X2" s="1"/>
    </row>
    <row r="3" spans="1:31" ht="33" customHeight="1">
      <c r="A3" s="69" t="str">
        <f>정보!B9</f>
        <v>HL 1.2T</v>
      </c>
      <c r="B3" s="69"/>
      <c r="C3" s="69"/>
      <c r="D3" s="69"/>
      <c r="E3" s="69"/>
      <c r="F3" s="69"/>
      <c r="G3" s="298" t="str">
        <f>"예상매수 : " &amp; ROUNDUP((SUM(AB7:AB198)+SUM(AD7:AD198))/1200,0) &amp;" 매"</f>
        <v>예상매수 : 14 매</v>
      </c>
      <c r="H3" s="298"/>
      <c r="I3" s="301">
        <v>0</v>
      </c>
      <c r="J3" s="301"/>
      <c r="K3" s="63"/>
      <c r="L3" s="63"/>
      <c r="M3" s="256" t="s">
        <v>161</v>
      </c>
      <c r="N3" s="256"/>
      <c r="O3" s="256"/>
      <c r="P3" s="302">
        <v>0</v>
      </c>
      <c r="Q3" s="302"/>
      <c r="R3" s="253" t="s">
        <v>162</v>
      </c>
      <c r="S3" s="253"/>
      <c r="T3" s="64"/>
      <c r="U3" s="303">
        <v>4</v>
      </c>
      <c r="V3" s="303"/>
      <c r="W3" s="65"/>
      <c r="X3" s="65"/>
    </row>
    <row r="4" spans="1:31" ht="9.75" customHeight="1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>
      <c r="A5" s="176" t="s">
        <v>163</v>
      </c>
      <c r="B5" s="176" t="s">
        <v>164</v>
      </c>
      <c r="C5" s="177" t="s">
        <v>165</v>
      </c>
      <c r="D5" s="176" t="s">
        <v>166</v>
      </c>
      <c r="E5" s="177" t="s">
        <v>167</v>
      </c>
      <c r="F5" s="177" t="s">
        <v>168</v>
      </c>
      <c r="G5" s="177" t="s">
        <v>169</v>
      </c>
      <c r="H5" s="177" t="s">
        <v>170</v>
      </c>
      <c r="I5" s="310" t="s">
        <v>171</v>
      </c>
      <c r="J5" s="177" t="s">
        <v>172</v>
      </c>
      <c r="K5" s="177" t="s">
        <v>173</v>
      </c>
      <c r="L5" s="177" t="s">
        <v>147</v>
      </c>
      <c r="M5" s="304" t="s">
        <v>174</v>
      </c>
      <c r="N5" s="304" t="s">
        <v>175</v>
      </c>
      <c r="O5" s="176" t="s">
        <v>176</v>
      </c>
      <c r="P5" s="176" t="s">
        <v>177</v>
      </c>
      <c r="Q5" s="176" t="s">
        <v>178</v>
      </c>
      <c r="R5" s="176" t="s">
        <v>179</v>
      </c>
      <c r="S5" s="177" t="s">
        <v>180</v>
      </c>
      <c r="T5" s="304" t="s">
        <v>151</v>
      </c>
      <c r="U5" s="177" t="s">
        <v>181</v>
      </c>
      <c r="V5" s="177" t="s">
        <v>182</v>
      </c>
      <c r="W5" s="176" t="s">
        <v>183</v>
      </c>
      <c r="X5" s="176"/>
      <c r="AB5" s="187" t="s">
        <v>184</v>
      </c>
      <c r="AC5" s="187"/>
      <c r="AD5" s="187" t="s">
        <v>185</v>
      </c>
      <c r="AE5" s="187"/>
    </row>
    <row r="6" spans="1:31" ht="36.75" customHeight="1">
      <c r="A6" s="218"/>
      <c r="B6" s="218"/>
      <c r="C6" s="218"/>
      <c r="D6" s="218"/>
      <c r="E6" s="218"/>
      <c r="F6" s="218"/>
      <c r="G6" s="218"/>
      <c r="H6" s="218"/>
      <c r="I6" s="311"/>
      <c r="J6" s="218"/>
      <c r="K6" s="246"/>
      <c r="L6" s="246"/>
      <c r="M6" s="305"/>
      <c r="N6" s="305"/>
      <c r="O6" s="218"/>
      <c r="P6" s="218"/>
      <c r="Q6" s="218"/>
      <c r="R6" s="218"/>
      <c r="S6" s="218"/>
      <c r="T6" s="306"/>
      <c r="U6" s="246"/>
      <c r="V6" s="246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>
      <c r="A7" s="50">
        <f>'쪽쟘(실측)'!A7</f>
        <v>524</v>
      </c>
      <c r="B7" s="50" t="str">
        <f>'쪽쟘(실측)'!B7&amp;"F"</f>
        <v>15F</v>
      </c>
      <c r="C7" s="50" t="str">
        <f>Z7&amp;"*"&amp;AA7</f>
        <v>1031*170.4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/>
      </c>
      <c r="H7" s="68" t="str">
        <f>IF(OR(쪽쟘제작!N7&lt;&gt;쪽쟘제작!M7,쪽쟘제작!Q7&lt;&gt;쪽쟘제작!R7),"",AE7&amp;"*"&amp;AD7)</f>
        <v/>
      </c>
      <c r="I7" s="70">
        <f>IF('쪽쟘(실측)'!F7&gt;0,'쪽쟘(실측)'!F7+0.5,0)</f>
        <v>21</v>
      </c>
      <c r="J7" s="50">
        <f>IF('쪽쟘(실측)'!H7&gt;0,'쪽쟘(실측)'!H7+0.5,0)</f>
        <v>21</v>
      </c>
      <c r="K7" s="50">
        <f>IF('쪽쟘(실측)'!F7&gt;0,'쪽쟘(실측)'!F7+1.5,0)</f>
        <v>22</v>
      </c>
      <c r="L7" s="50">
        <f>IF('쪽쟘(실측)'!G7&gt;0,'쪽쟘(실측)'!G7+1.5,0)</f>
        <v>30</v>
      </c>
      <c r="M7" s="50">
        <f>IF('쪽쟘(실측)'!H7&gt;0,'쪽쟘(실측)'!H7+1.5,0)</f>
        <v>22</v>
      </c>
      <c r="N7" s="50">
        <f>IF('쪽쟘(실측)'!I7&gt;0,'쪽쟘(실측)'!I7+1.5,0)</f>
        <v>24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30</v>
      </c>
      <c r="V7" s="50">
        <f>'쪽쟘(실측)'!Q7</f>
        <v>30</v>
      </c>
      <c r="W7" s="50" t="e">
        <f>'쪽쟘(실측)'!R7-늘치차감</f>
        <v>#NAME?</v>
      </c>
      <c r="X7" s="50" t="e">
        <f>'쪽쟘(실측)'!S7-늘치차감</f>
        <v>#NAME?</v>
      </c>
      <c r="Z7">
        <v>1031</v>
      </c>
      <c r="AA7">
        <v>170.4</v>
      </c>
      <c r="AB7">
        <v>167.4</v>
      </c>
      <c r="AC7">
        <v>2093</v>
      </c>
      <c r="AD7">
        <v>159.4</v>
      </c>
      <c r="AE7">
        <v>2093</v>
      </c>
    </row>
    <row r="8" spans="1:31" ht="18.75" customHeight="1">
      <c r="A8" s="50">
        <f>'쪽쟘(실측)'!A8</f>
        <v>524</v>
      </c>
      <c r="B8" s="50" t="str">
        <f>'쪽쟘(실측)'!B8&amp;"F"</f>
        <v>14F</v>
      </c>
      <c r="C8" s="50" t="str">
        <f t="shared" ref="C8:C36" si="0">Z8&amp;"*"&amp;AA8</f>
        <v>1031*170.4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IF(OR(쪽쟘제작!K8&lt;&gt;쪽쟘제작!L8,쪽쟘제작!O8&lt;&gt;쪽쟘제작!P8),"",AC8&amp;"*"&amp;AB8)</f>
        <v/>
      </c>
      <c r="H8" s="68" t="str">
        <f>IF(OR(쪽쟘제작!N8&lt;&gt;쪽쟘제작!M8,쪽쟘제작!Q8&lt;&gt;쪽쟘제작!R8),"",AE8&amp;"*"&amp;AD8)</f>
        <v>2092*159.4</v>
      </c>
      <c r="I8" s="70">
        <f>IF('쪽쟘(실측)'!F8&gt;0,'쪽쟘(실측)'!F8+0.5,0)</f>
        <v>20.5</v>
      </c>
      <c r="J8" s="50">
        <f>IF('쪽쟘(실측)'!H8&gt;0,'쪽쟘(실측)'!H8+0.5,0)</f>
        <v>20.5</v>
      </c>
      <c r="K8" s="50">
        <f>IF('쪽쟘(실측)'!F8&gt;0,'쪽쟘(실측)'!F8+1.5,0)</f>
        <v>21.5</v>
      </c>
      <c r="L8" s="50">
        <f>IF('쪽쟘(실측)'!G8&gt;0,'쪽쟘(실측)'!G8+1.5,0)</f>
        <v>24.5</v>
      </c>
      <c r="M8" s="50">
        <f>IF('쪽쟘(실측)'!H8&gt;0,'쪽쟘(실측)'!H8+1.5,0)</f>
        <v>21.5</v>
      </c>
      <c r="N8" s="50">
        <f>IF('쪽쟘(실측)'!I8&gt;0,'쪽쟘(실측)'!I8+1.5,0)</f>
        <v>21.5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26.2</v>
      </c>
      <c r="T8" s="50">
        <f>'쪽쟘(실측)'!O8+1.2</f>
        <v>31.2</v>
      </c>
      <c r="U8" s="50">
        <f>'쪽쟘(실측)'!P8</f>
        <v>30</v>
      </c>
      <c r="V8" s="50">
        <f>'쪽쟘(실측)'!Q8</f>
        <v>30</v>
      </c>
      <c r="W8" s="50" t="e">
        <f>'쪽쟘(실측)'!R8-늘치차감</f>
        <v>#NAME?</v>
      </c>
      <c r="X8" s="50" t="e">
        <f>'쪽쟘(실측)'!S8-늘치차감</f>
        <v>#NAME?</v>
      </c>
      <c r="Z8">
        <v>1031</v>
      </c>
      <c r="AA8">
        <v>170.4</v>
      </c>
      <c r="AB8">
        <v>162.4</v>
      </c>
      <c r="AC8">
        <v>2092</v>
      </c>
      <c r="AD8">
        <v>159.4</v>
      </c>
      <c r="AE8">
        <v>2092</v>
      </c>
    </row>
    <row r="9" spans="1:31">
      <c r="A9" s="50">
        <f>'쪽쟘(실측)'!A9</f>
        <v>524</v>
      </c>
      <c r="B9" s="50" t="str">
        <f>'쪽쟘(실측)'!B9&amp;"F"</f>
        <v>13F</v>
      </c>
      <c r="C9" s="50" t="str">
        <f t="shared" si="0"/>
        <v>1032*170.4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>IF(OR(쪽쟘제작!K9&lt;&gt;쪽쟘제작!L9,쪽쟘제작!O9&lt;&gt;쪽쟘제작!P9),"",AC9&amp;"*"&amp;AB9)</f>
        <v/>
      </c>
      <c r="H9" s="68" t="str">
        <f>IF(OR(쪽쟘제작!N9&lt;&gt;쪽쟘제작!M9,쪽쟘제작!Q9&lt;&gt;쪽쟘제작!R9),"",AE9&amp;"*"&amp;AD9)</f>
        <v/>
      </c>
      <c r="Z9">
        <v>1032</v>
      </c>
      <c r="AA9">
        <v>170.4</v>
      </c>
      <c r="AB9">
        <v>163.4</v>
      </c>
      <c r="AC9">
        <v>2090</v>
      </c>
      <c r="AD9">
        <v>159.4</v>
      </c>
      <c r="AE9">
        <v>2092</v>
      </c>
    </row>
    <row r="10" spans="1:31">
      <c r="A10" s="50">
        <f>'쪽쟘(실측)'!A10</f>
        <v>524</v>
      </c>
      <c r="B10" s="50" t="str">
        <f>'쪽쟘(실측)'!B10&amp;"F"</f>
        <v>12F</v>
      </c>
      <c r="C10" s="50" t="str">
        <f t="shared" si="0"/>
        <v>1039*166.4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>IF(OR(쪽쟘제작!K10&lt;&gt;쪽쟘제작!L10,쪽쟘제작!O10&lt;&gt;쪽쟘제작!P10),"",AC10&amp;"*"&amp;AB10)</f>
        <v>2090*167.4</v>
      </c>
      <c r="H10" s="68" t="str">
        <f>IF(OR(쪽쟘제작!N10&lt;&gt;쪽쟘제작!M10,쪽쟘제작!Q10&lt;&gt;쪽쟘제작!R10),"",AE10&amp;"*"&amp;AD10)</f>
        <v/>
      </c>
      <c r="Z10">
        <v>1039</v>
      </c>
      <c r="AA10">
        <v>166.4</v>
      </c>
      <c r="AB10">
        <v>167.4</v>
      </c>
      <c r="AC10">
        <v>2090</v>
      </c>
      <c r="AD10">
        <v>163.4</v>
      </c>
      <c r="AE10">
        <v>2092</v>
      </c>
    </row>
    <row r="11" spans="1:31">
      <c r="A11" s="50">
        <f>'쪽쟘(실측)'!A11</f>
        <v>524</v>
      </c>
      <c r="B11" s="50" t="str">
        <f>'쪽쟘(실측)'!B11&amp;"F"</f>
        <v>11F</v>
      </c>
      <c r="C11" s="50" t="str">
        <f t="shared" si="0"/>
        <v>1039*167.4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>IF(OR(쪽쟘제작!K11&lt;&gt;쪽쟘제작!L11,쪽쟘제작!O11&lt;&gt;쪽쟘제작!P11),"",AC11&amp;"*"&amp;AB11)</f>
        <v/>
      </c>
      <c r="H11" s="68" t="str">
        <f>IF(OR(쪽쟘제작!N11&lt;&gt;쪽쟘제작!M11,쪽쟘제작!Q11&lt;&gt;쪽쟘제작!R11),"",AE11&amp;"*"&amp;AD11)</f>
        <v/>
      </c>
      <c r="Z11">
        <v>1039</v>
      </c>
      <c r="AA11">
        <v>167.4</v>
      </c>
      <c r="AB11">
        <v>163.4</v>
      </c>
      <c r="AC11">
        <v>2090</v>
      </c>
      <c r="AD11">
        <v>163.4</v>
      </c>
      <c r="AE11">
        <v>2092</v>
      </c>
    </row>
    <row r="12" spans="1:31">
      <c r="A12" s="50">
        <f>'쪽쟘(실측)'!A12</f>
        <v>524</v>
      </c>
      <c r="B12" s="50" t="str">
        <f>'쪽쟘(실측)'!B12&amp;"F"</f>
        <v>10F</v>
      </c>
      <c r="C12" s="50" t="str">
        <f t="shared" si="0"/>
        <v>1031*169.4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>IF(OR(쪽쟘제작!K12&lt;&gt;쪽쟘제작!L12,쪽쟘제작!O12&lt;&gt;쪽쟘제작!P12),"",AC12&amp;"*"&amp;AB12)</f>
        <v/>
      </c>
      <c r="H12" s="68" t="str">
        <f>IF(OR(쪽쟘제작!N12&lt;&gt;쪽쟘제작!M12,쪽쟘제작!Q12&lt;&gt;쪽쟘제작!R12),"",AE12&amp;"*"&amp;AD12)</f>
        <v/>
      </c>
      <c r="Z12">
        <v>1031</v>
      </c>
      <c r="AA12">
        <v>169.4</v>
      </c>
      <c r="AB12">
        <v>159.4</v>
      </c>
      <c r="AC12">
        <v>2096</v>
      </c>
      <c r="AD12">
        <v>159.4</v>
      </c>
      <c r="AE12">
        <v>2094</v>
      </c>
    </row>
    <row r="13" spans="1:31">
      <c r="A13" s="50">
        <f>'쪽쟘(실측)'!A13</f>
        <v>524</v>
      </c>
      <c r="B13" s="50" t="str">
        <f>'쪽쟘(실측)'!B13&amp;"F"</f>
        <v>9F</v>
      </c>
      <c r="C13" s="50" t="str">
        <f t="shared" si="0"/>
        <v>1038*166.4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>IF(OR(쪽쟘제작!K13&lt;&gt;쪽쟘제작!L13,쪽쟘제작!O13&lt;&gt;쪽쟘제작!P13),"",AC13&amp;"*"&amp;AB13)</f>
        <v>2090*161.4</v>
      </c>
      <c r="H13" s="68" t="str">
        <f>IF(OR(쪽쟘제작!N13&lt;&gt;쪽쟘제작!M13,쪽쟘제작!Q13&lt;&gt;쪽쟘제작!R13),"",AE13&amp;"*"&amp;AD13)</f>
        <v>2090*164.4</v>
      </c>
      <c r="Z13">
        <v>1038</v>
      </c>
      <c r="AA13">
        <v>166.4</v>
      </c>
      <c r="AB13">
        <v>161.4</v>
      </c>
      <c r="AC13">
        <v>2090</v>
      </c>
      <c r="AD13">
        <v>164.4</v>
      </c>
      <c r="AE13">
        <v>2090</v>
      </c>
    </row>
    <row r="14" spans="1:31">
      <c r="A14" s="50">
        <f>'쪽쟘(실측)'!A14</f>
        <v>524</v>
      </c>
      <c r="B14" s="50" t="str">
        <f>'쪽쟘(실측)'!B14&amp;"F"</f>
        <v>8F</v>
      </c>
      <c r="C14" s="50" t="str">
        <f t="shared" si="0"/>
        <v>1033*163.4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>IF(OR(쪽쟘제작!K14&lt;&gt;쪽쟘제작!L14,쪽쟘제작!O14&lt;&gt;쪽쟘제작!P14),"",AC14&amp;"*"&amp;AB14)</f>
        <v/>
      </c>
      <c r="H14" s="68" t="str">
        <f>IF(OR(쪽쟘제작!N14&lt;&gt;쪽쟘제작!M14,쪽쟘제작!Q14&lt;&gt;쪽쟘제작!R14),"",AE14&amp;"*"&amp;AD14)</f>
        <v>2090*159.4</v>
      </c>
      <c r="Z14">
        <v>1033</v>
      </c>
      <c r="AA14">
        <v>163.4</v>
      </c>
      <c r="AB14">
        <v>160.4</v>
      </c>
      <c r="AC14">
        <v>2093</v>
      </c>
      <c r="AD14">
        <v>159.4</v>
      </c>
      <c r="AE14">
        <v>2090</v>
      </c>
    </row>
    <row r="15" spans="1:31">
      <c r="A15" s="50">
        <f>'쪽쟘(실측)'!A15</f>
        <v>524</v>
      </c>
      <c r="B15" s="50" t="str">
        <f>'쪽쟘(실측)'!B15&amp;"F"</f>
        <v>7F</v>
      </c>
      <c r="C15" s="50" t="str">
        <f t="shared" si="0"/>
        <v>1030*162.4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>IF(OR(쪽쟘제작!K15&lt;&gt;쪽쟘제작!L15,쪽쟘제작!O15&lt;&gt;쪽쟘제작!P15),"",AC15&amp;"*"&amp;AB15)</f>
        <v>2090*157.4</v>
      </c>
      <c r="H15" s="68" t="str">
        <f>IF(OR(쪽쟘제작!N15&lt;&gt;쪽쟘제작!M15,쪽쟘제작!Q15&lt;&gt;쪽쟘제작!R15),"",AE15&amp;"*"&amp;AD15)</f>
        <v>2092*159.4</v>
      </c>
      <c r="Z15">
        <v>1030</v>
      </c>
      <c r="AA15">
        <v>162.4</v>
      </c>
      <c r="AB15">
        <v>157.4</v>
      </c>
      <c r="AC15">
        <v>2090</v>
      </c>
      <c r="AD15">
        <v>159.4</v>
      </c>
      <c r="AE15">
        <v>2092</v>
      </c>
    </row>
    <row r="16" spans="1:31">
      <c r="A16" s="50" t="e">
        <f>'쪽쟘(실측)'!#REF!</f>
        <v>#REF!</v>
      </c>
      <c r="B16" s="50" t="e">
        <f>'쪽쟘(실측)'!#REF!&amp;"F"</f>
        <v>#REF!</v>
      </c>
      <c r="C16" s="50" t="str">
        <f t="shared" si="0"/>
        <v>1031*170.4</v>
      </c>
      <c r="D16" s="50" t="e">
        <f>'쪽쟘(실측)'!#REF!-OP차감</f>
        <v>#REF!</v>
      </c>
      <c r="E16" s="50" t="e">
        <f>'쪽쟘(실측)'!#REF!+쪽쟘J늘림+MAX(W16:X16)</f>
        <v>#REF!</v>
      </c>
      <c r="F16" s="50" t="e">
        <f>'쪽쟘(실측)'!#REF!+쪽쟘J늘림+MAX(W16:X16)</f>
        <v>#REF!</v>
      </c>
      <c r="G16" s="67" t="e">
        <f>IF(OR(쪽쟘제작!#REF!&lt;&gt;쪽쟘제작!#REF!,쪽쟘제작!#REF!&lt;&gt;쪽쟘제작!#REF!),"",AC16&amp;"*"&amp;AB16)</f>
        <v>#REF!</v>
      </c>
      <c r="H16" s="68" t="e">
        <f>IF(OR(쪽쟘제작!#REF!&lt;&gt;쪽쟘제작!#REF!,쪽쟘제작!#REF!&lt;&gt;쪽쟘제작!#REF!),"",AE16&amp;"*"&amp;AD16)</f>
        <v>#REF!</v>
      </c>
      <c r="Z16">
        <v>1031</v>
      </c>
      <c r="AA16">
        <v>170.4</v>
      </c>
      <c r="AB16">
        <v>159.4</v>
      </c>
      <c r="AC16">
        <v>2090</v>
      </c>
      <c r="AD16">
        <v>159.4</v>
      </c>
      <c r="AE16">
        <v>2090</v>
      </c>
    </row>
    <row r="17" spans="1:31">
      <c r="A17" s="50" t="e">
        <f>'쪽쟘(실측)'!#REF!</f>
        <v>#REF!</v>
      </c>
      <c r="B17" s="50" t="e">
        <f>'쪽쟘(실측)'!#REF!&amp;"F"</f>
        <v>#REF!</v>
      </c>
      <c r="C17" s="50" t="str">
        <f t="shared" si="0"/>
        <v>1031*170.4</v>
      </c>
      <c r="D17" s="50" t="e">
        <f>'쪽쟘(실측)'!#REF!-OP차감</f>
        <v>#REF!</v>
      </c>
      <c r="E17" s="50" t="e">
        <f>'쪽쟘(실측)'!#REF!+쪽쟘J늘림+MAX(W17:X17)</f>
        <v>#REF!</v>
      </c>
      <c r="F17" s="50" t="e">
        <f>'쪽쟘(실측)'!#REF!+쪽쟘J늘림+MAX(W17:X17)</f>
        <v>#REF!</v>
      </c>
      <c r="G17" s="67" t="e">
        <f>IF(OR(쪽쟘제작!#REF!&lt;&gt;쪽쟘제작!#REF!,쪽쟘제작!#REF!&lt;&gt;쪽쟘제작!#REF!),"",AC17&amp;"*"&amp;AB17)</f>
        <v>#REF!</v>
      </c>
      <c r="H17" s="68" t="e">
        <f>IF(OR(쪽쟘제작!#REF!&lt;&gt;쪽쟘제작!#REF!,쪽쟘제작!#REF!&lt;&gt;쪽쟘제작!#REF!),"",AE17&amp;"*"&amp;AD17)</f>
        <v>#REF!</v>
      </c>
      <c r="Z17">
        <v>1031</v>
      </c>
      <c r="AA17">
        <v>170.4</v>
      </c>
      <c r="AB17">
        <v>159.4</v>
      </c>
      <c r="AC17">
        <v>2090</v>
      </c>
      <c r="AD17">
        <v>159.4</v>
      </c>
      <c r="AE17">
        <v>2090</v>
      </c>
    </row>
    <row r="18" spans="1:31">
      <c r="A18" s="50" t="e">
        <f>'쪽쟘(실측)'!#REF!</f>
        <v>#REF!</v>
      </c>
      <c r="B18" s="50" t="e">
        <f>'쪽쟘(실측)'!#REF!&amp;"F"</f>
        <v>#REF!</v>
      </c>
      <c r="C18" s="50" t="str">
        <f t="shared" si="0"/>
        <v>1032*170.4</v>
      </c>
      <c r="D18" s="50" t="e">
        <f>'쪽쟘(실측)'!#REF!-OP차감</f>
        <v>#REF!</v>
      </c>
      <c r="E18" s="50" t="e">
        <f>'쪽쟘(실측)'!#REF!+쪽쟘J늘림+MAX(W18:X18)</f>
        <v>#REF!</v>
      </c>
      <c r="F18" s="50" t="e">
        <f>'쪽쟘(실측)'!#REF!+쪽쟘J늘림+MAX(W18:X18)</f>
        <v>#REF!</v>
      </c>
      <c r="G18" s="67" t="e">
        <f>IF(OR(쪽쟘제작!#REF!&lt;&gt;쪽쟘제작!#REF!,쪽쟘제작!#REF!&lt;&gt;쪽쟘제작!#REF!),"",AC18&amp;"*"&amp;AB18)</f>
        <v>#REF!</v>
      </c>
      <c r="H18" s="68" t="e">
        <f>IF(OR(쪽쟘제작!#REF!&lt;&gt;쪽쟘제작!#REF!,쪽쟘제작!#REF!&lt;&gt;쪽쟘제작!#REF!),"",AE18&amp;"*"&amp;AD18)</f>
        <v>#REF!</v>
      </c>
      <c r="Z18">
        <v>1032</v>
      </c>
      <c r="AA18">
        <v>170.4</v>
      </c>
      <c r="AB18">
        <v>160.4</v>
      </c>
      <c r="AC18">
        <v>2090</v>
      </c>
      <c r="AD18">
        <v>159.4</v>
      </c>
      <c r="AE18">
        <v>2090</v>
      </c>
    </row>
    <row r="19" spans="1:31">
      <c r="A19" s="50" t="e">
        <f>'쪽쟘(실측)'!#REF!</f>
        <v>#REF!</v>
      </c>
      <c r="B19" s="50" t="e">
        <f>'쪽쟘(실측)'!#REF!&amp;"F"</f>
        <v>#REF!</v>
      </c>
      <c r="C19" s="50" t="str">
        <f t="shared" si="0"/>
        <v>1031*160.4</v>
      </c>
      <c r="D19" s="50" t="e">
        <f>'쪽쟘(실측)'!#REF!-OP차감</f>
        <v>#REF!</v>
      </c>
      <c r="E19" s="50" t="e">
        <f>'쪽쟘(실측)'!#REF!+쪽쟘J늘림+MAX(W19:X19)</f>
        <v>#REF!</v>
      </c>
      <c r="F19" s="50" t="e">
        <f>'쪽쟘(실측)'!#REF!+쪽쟘J늘림+MAX(W19:X19)</f>
        <v>#REF!</v>
      </c>
      <c r="G19" s="67" t="e">
        <f>IF(OR(쪽쟘제작!#REF!&lt;&gt;쪽쟘제작!#REF!,쪽쟘제작!#REF!&lt;&gt;쪽쟘제작!#REF!),"",AC19&amp;"*"&amp;AB19)</f>
        <v>#REF!</v>
      </c>
      <c r="H19" s="68" t="e">
        <f>IF(OR(쪽쟘제작!#REF!&lt;&gt;쪽쟘제작!#REF!,쪽쟘제작!#REF!&lt;&gt;쪽쟘제작!#REF!),"",AE19&amp;"*"&amp;AD19)</f>
        <v>#REF!</v>
      </c>
      <c r="Z19">
        <v>1031</v>
      </c>
      <c r="AA19">
        <v>160.4</v>
      </c>
      <c r="AB19">
        <v>159.4</v>
      </c>
      <c r="AC19">
        <v>2090</v>
      </c>
      <c r="AD19">
        <v>162.4</v>
      </c>
      <c r="AE19">
        <v>2090</v>
      </c>
    </row>
    <row r="20" spans="1:31" ht="17.25" thickBot="1">
      <c r="A20" s="164" t="e">
        <f>'쪽쟘(실측)'!#REF!</f>
        <v>#REF!</v>
      </c>
      <c r="B20" s="164" t="e">
        <f>'쪽쟘(실측)'!#REF!&amp;"F"</f>
        <v>#REF!</v>
      </c>
      <c r="C20" s="164" t="str">
        <f t="shared" si="0"/>
        <v>1027*153.4</v>
      </c>
      <c r="D20" s="164" t="e">
        <f>'쪽쟘(실측)'!#REF!-OP차감</f>
        <v>#REF!</v>
      </c>
      <c r="E20" s="164" t="e">
        <f>'쪽쟘(실측)'!#REF!+쪽쟘J늘림+MAX(W20:X20)</f>
        <v>#REF!</v>
      </c>
      <c r="F20" s="164" t="e">
        <f>'쪽쟘(실측)'!#REF!+쪽쟘J늘림+MAX(W20:X20)</f>
        <v>#REF!</v>
      </c>
      <c r="G20" s="165" t="e">
        <f>IF(OR(쪽쟘제작!#REF!&lt;&gt;쪽쟘제작!#REF!,쪽쟘제작!#REF!&lt;&gt;쪽쟘제작!#REF!),"",AC20&amp;"*"&amp;AB20)</f>
        <v>#REF!</v>
      </c>
      <c r="H20" s="166" t="e">
        <f>IF(OR(쪽쟘제작!#REF!&lt;&gt;쪽쟘제작!#REF!,쪽쟘제작!#REF!&lt;&gt;쪽쟘제작!#REF!),"",AE20&amp;"*"&amp;AD20)</f>
        <v>#REF!</v>
      </c>
      <c r="Z20">
        <v>1027</v>
      </c>
      <c r="AA20">
        <v>153.4</v>
      </c>
      <c r="AB20">
        <v>165.4</v>
      </c>
      <c r="AC20">
        <v>2090</v>
      </c>
      <c r="AD20">
        <v>159.4</v>
      </c>
      <c r="AE20">
        <v>2090</v>
      </c>
    </row>
    <row r="21" spans="1:31">
      <c r="A21" s="161" t="e">
        <f>'쪽쟘(실측)'!#REF!</f>
        <v>#REF!</v>
      </c>
      <c r="B21" s="161" t="e">
        <f>'쪽쟘(실측)'!#REF!&amp;"F"</f>
        <v>#REF!</v>
      </c>
      <c r="C21" s="161" t="str">
        <f t="shared" si="0"/>
        <v>939*160.4</v>
      </c>
      <c r="D21" s="161" t="e">
        <f>'쪽쟘(실측)'!#REF!-OP차감</f>
        <v>#REF!</v>
      </c>
      <c r="E21" s="161" t="e">
        <f>'쪽쟘(실측)'!#REF!+쪽쟘J늘림+MAX(W21:X21)</f>
        <v>#REF!</v>
      </c>
      <c r="F21" s="161" t="e">
        <f>'쪽쟘(실측)'!#REF!+쪽쟘J늘림+MAX(W21:X21)</f>
        <v>#REF!</v>
      </c>
      <c r="G21" s="162" t="e">
        <f>IF(OR(쪽쟘제작!#REF!&lt;&gt;쪽쟘제작!#REF!,쪽쟘제작!#REF!&lt;&gt;쪽쟘제작!#REF!),"",AC21&amp;"*"&amp;AB21)</f>
        <v>#REF!</v>
      </c>
      <c r="H21" s="163" t="e">
        <f>IF(OR(쪽쟘제작!#REF!&lt;&gt;쪽쟘제작!#REF!,쪽쟘제작!#REF!&lt;&gt;쪽쟘제작!#REF!),"",AE21&amp;"*"&amp;AD21)</f>
        <v>#REF!</v>
      </c>
      <c r="Z21">
        <v>939</v>
      </c>
      <c r="AA21">
        <v>160.4</v>
      </c>
      <c r="AB21">
        <v>162.4</v>
      </c>
      <c r="AC21">
        <v>2093</v>
      </c>
      <c r="AD21">
        <v>159.4</v>
      </c>
      <c r="AE21">
        <v>2097</v>
      </c>
    </row>
    <row r="22" spans="1:31">
      <c r="A22" s="50" t="e">
        <f>'쪽쟘(실측)'!#REF!</f>
        <v>#REF!</v>
      </c>
      <c r="B22" s="50" t="e">
        <f>'쪽쟘(실측)'!#REF!&amp;"F"</f>
        <v>#REF!</v>
      </c>
      <c r="C22" s="50" t="str">
        <f t="shared" si="0"/>
        <v>941*155.4</v>
      </c>
      <c r="D22" s="50" t="e">
        <f>'쪽쟘(실측)'!#REF!-OP차감</f>
        <v>#REF!</v>
      </c>
      <c r="E22" s="50" t="e">
        <f>'쪽쟘(실측)'!#REF!+쪽쟘J늘림+MAX(W22:X22)</f>
        <v>#REF!</v>
      </c>
      <c r="F22" s="50" t="e">
        <f>'쪽쟘(실측)'!#REF!+쪽쟘J늘림+MAX(W22:X22)</f>
        <v>#REF!</v>
      </c>
      <c r="G22" s="67" t="e">
        <f>IF(OR(쪽쟘제작!#REF!&lt;&gt;쪽쟘제작!#REF!,쪽쟘제작!#REF!&lt;&gt;쪽쟘제작!#REF!),"",AC22&amp;"*"&amp;AB22)</f>
        <v>#REF!</v>
      </c>
      <c r="H22" s="68" t="e">
        <f>IF(OR(쪽쟘제작!#REF!&lt;&gt;쪽쟘제작!#REF!,쪽쟘제작!#REF!&lt;&gt;쪽쟘제작!#REF!),"",AE22&amp;"*"&amp;AD22)</f>
        <v>#REF!</v>
      </c>
      <c r="Z22">
        <v>941</v>
      </c>
      <c r="AA22">
        <v>155.4</v>
      </c>
      <c r="AB22">
        <v>164.4</v>
      </c>
      <c r="AC22">
        <v>2095</v>
      </c>
      <c r="AD22">
        <v>161.4</v>
      </c>
      <c r="AE22">
        <v>2092</v>
      </c>
    </row>
    <row r="23" spans="1:31">
      <c r="A23" s="50" t="e">
        <f>'쪽쟘(실측)'!#REF!</f>
        <v>#REF!</v>
      </c>
      <c r="B23" s="50" t="e">
        <f>'쪽쟘(실측)'!#REF!&amp;"F"</f>
        <v>#REF!</v>
      </c>
      <c r="C23" s="50" t="str">
        <f t="shared" si="0"/>
        <v>941*156.4</v>
      </c>
      <c r="D23" s="50" t="e">
        <f>'쪽쟘(실측)'!#REF!-OP차감</f>
        <v>#REF!</v>
      </c>
      <c r="E23" s="50" t="e">
        <f>'쪽쟘(실측)'!#REF!+쪽쟘J늘림+MAX(W23:X23)</f>
        <v>#REF!</v>
      </c>
      <c r="F23" s="50" t="e">
        <f>'쪽쟘(실측)'!#REF!+쪽쟘J늘림+MAX(W23:X23)</f>
        <v>#REF!</v>
      </c>
      <c r="G23" s="67" t="e">
        <f>IF(OR(쪽쟘제작!#REF!&lt;&gt;쪽쟘제작!#REF!,쪽쟘제작!#REF!&lt;&gt;쪽쟘제작!#REF!),"",AC23&amp;"*"&amp;AB23)</f>
        <v>#REF!</v>
      </c>
      <c r="H23" s="68" t="e">
        <f>IF(OR(쪽쟘제작!#REF!&lt;&gt;쪽쟘제작!#REF!,쪽쟘제작!#REF!&lt;&gt;쪽쟘제작!#REF!),"",AE23&amp;"*"&amp;AD23)</f>
        <v>#REF!</v>
      </c>
      <c r="Z23">
        <v>941</v>
      </c>
      <c r="AA23">
        <v>156.4</v>
      </c>
      <c r="AB23">
        <v>163.4</v>
      </c>
      <c r="AC23">
        <v>2095</v>
      </c>
      <c r="AD23">
        <v>161.4</v>
      </c>
      <c r="AE23">
        <v>2095</v>
      </c>
    </row>
    <row r="24" spans="1:31">
      <c r="A24" s="50" t="e">
        <f>'쪽쟘(실측)'!#REF!</f>
        <v>#REF!</v>
      </c>
      <c r="B24" s="50" t="e">
        <f>'쪽쟘(실측)'!#REF!&amp;"F"</f>
        <v>#REF!</v>
      </c>
      <c r="C24" s="50" t="str">
        <f t="shared" si="0"/>
        <v>945*161.4</v>
      </c>
      <c r="D24" s="50" t="e">
        <f>'쪽쟘(실측)'!#REF!-OP차감</f>
        <v>#REF!</v>
      </c>
      <c r="E24" s="50" t="e">
        <f>'쪽쟘(실측)'!#REF!+쪽쟘J늘림+MAX(W24:X24)</f>
        <v>#REF!</v>
      </c>
      <c r="F24" s="50" t="e">
        <f>'쪽쟘(실측)'!#REF!+쪽쟘J늘림+MAX(W24:X24)</f>
        <v>#REF!</v>
      </c>
      <c r="G24" s="67" t="e">
        <f>IF(OR(쪽쟘제작!#REF!&lt;&gt;쪽쟘제작!#REF!,쪽쟘제작!#REF!&lt;&gt;쪽쟘제작!#REF!),"",AC24&amp;"*"&amp;AB24)</f>
        <v>#REF!</v>
      </c>
      <c r="H24" s="68" t="e">
        <f>IF(OR(쪽쟘제작!#REF!&lt;&gt;쪽쟘제작!#REF!,쪽쟘제작!#REF!&lt;&gt;쪽쟘제작!#REF!),"",AE24&amp;"*"&amp;AD24)</f>
        <v>#REF!</v>
      </c>
      <c r="Z24">
        <v>945</v>
      </c>
      <c r="AA24">
        <v>161.4</v>
      </c>
      <c r="AB24">
        <v>164.4</v>
      </c>
      <c r="AC24">
        <v>2092</v>
      </c>
      <c r="AD24">
        <v>161.4</v>
      </c>
      <c r="AE24">
        <v>2092</v>
      </c>
    </row>
    <row r="25" spans="1:31">
      <c r="A25" s="50" t="e">
        <f>'쪽쟘(실측)'!#REF!</f>
        <v>#REF!</v>
      </c>
      <c r="B25" s="50" t="e">
        <f>'쪽쟘(실측)'!#REF!&amp;"F"</f>
        <v>#REF!</v>
      </c>
      <c r="C25" s="50" t="str">
        <f t="shared" si="0"/>
        <v>944*162.4</v>
      </c>
      <c r="D25" s="50" t="e">
        <f>'쪽쟘(실측)'!#REF!-OP차감</f>
        <v>#REF!</v>
      </c>
      <c r="E25" s="50" t="e">
        <f>'쪽쟘(실측)'!#REF!+쪽쟘J늘림+MAX(W25:X25)</f>
        <v>#REF!</v>
      </c>
      <c r="F25" s="50" t="e">
        <f>'쪽쟘(실측)'!#REF!+쪽쟘J늘림+MAX(W25:X25)</f>
        <v>#REF!</v>
      </c>
      <c r="G25" s="67" t="e">
        <f>IF(OR(쪽쟘제작!#REF!&lt;&gt;쪽쟘제작!#REF!,쪽쟘제작!#REF!&lt;&gt;쪽쟘제작!#REF!),"",AC25&amp;"*"&amp;AB25)</f>
        <v>#REF!</v>
      </c>
      <c r="H25" s="68" t="e">
        <f>IF(OR(쪽쟘제작!#REF!&lt;&gt;쪽쟘제작!#REF!,쪽쟘제작!#REF!&lt;&gt;쪽쟘제작!#REF!),"",AE25&amp;"*"&amp;AD25)</f>
        <v>#REF!</v>
      </c>
      <c r="Z25">
        <v>944</v>
      </c>
      <c r="AA25">
        <v>162.4</v>
      </c>
      <c r="AB25">
        <v>160.4</v>
      </c>
      <c r="AC25">
        <v>2090</v>
      </c>
      <c r="AD25">
        <v>160.4</v>
      </c>
      <c r="AE25">
        <v>2086</v>
      </c>
    </row>
    <row r="26" spans="1:31">
      <c r="A26" s="50" t="e">
        <f>'쪽쟘(실측)'!#REF!</f>
        <v>#REF!</v>
      </c>
      <c r="B26" s="50" t="e">
        <f>'쪽쟘(실측)'!#REF!&amp;"F"</f>
        <v>#REF!</v>
      </c>
      <c r="C26" s="50" t="str">
        <f t="shared" si="0"/>
        <v>946*163.4</v>
      </c>
      <c r="D26" s="50" t="e">
        <f>'쪽쟘(실측)'!#REF!-OP차감</f>
        <v>#REF!</v>
      </c>
      <c r="E26" s="50" t="e">
        <f>'쪽쟘(실측)'!#REF!+쪽쟘J늘림+MAX(W26:X26)</f>
        <v>#REF!</v>
      </c>
      <c r="F26" s="50" t="e">
        <f>'쪽쟘(실측)'!#REF!+쪽쟘J늘림+MAX(W26:X26)</f>
        <v>#REF!</v>
      </c>
      <c r="G26" s="67" t="e">
        <f>IF(OR(쪽쟘제작!#REF!&lt;&gt;쪽쟘제작!#REF!,쪽쟘제작!#REF!&lt;&gt;쪽쟘제작!#REF!),"",AC26&amp;"*"&amp;AB26)</f>
        <v>#REF!</v>
      </c>
      <c r="H26" s="68" t="e">
        <f>IF(OR(쪽쟘제작!#REF!&lt;&gt;쪽쟘제작!#REF!,쪽쟘제작!#REF!&lt;&gt;쪽쟘제작!#REF!),"",AE26&amp;"*"&amp;AD26)</f>
        <v>#REF!</v>
      </c>
      <c r="Z26">
        <v>946</v>
      </c>
      <c r="AA26">
        <v>163.4</v>
      </c>
      <c r="AB26">
        <v>162.4</v>
      </c>
      <c r="AC26">
        <v>2085</v>
      </c>
      <c r="AD26">
        <v>160.4</v>
      </c>
      <c r="AE26">
        <v>2092</v>
      </c>
    </row>
    <row r="27" spans="1:31">
      <c r="A27" s="50" t="e">
        <f>'쪽쟘(실측)'!#REF!</f>
        <v>#REF!</v>
      </c>
      <c r="B27" s="50" t="e">
        <f>'쪽쟘(실측)'!#REF!&amp;"F"</f>
        <v>#REF!</v>
      </c>
      <c r="C27" s="50" t="str">
        <f t="shared" si="0"/>
        <v>949*154.4</v>
      </c>
      <c r="D27" s="50" t="e">
        <f>'쪽쟘(실측)'!#REF!-OP차감</f>
        <v>#REF!</v>
      </c>
      <c r="E27" s="50" t="e">
        <f>'쪽쟘(실측)'!#REF!+쪽쟘J늘림+MAX(W27:X27)</f>
        <v>#REF!</v>
      </c>
      <c r="F27" s="50" t="e">
        <f>'쪽쟘(실측)'!#REF!+쪽쟘J늘림+MAX(W27:X27)</f>
        <v>#REF!</v>
      </c>
      <c r="G27" s="67" t="e">
        <f>IF(OR(쪽쟘제작!#REF!&lt;&gt;쪽쟘제작!#REF!,쪽쟘제작!#REF!&lt;&gt;쪽쟘제작!#REF!),"",AC27&amp;"*"&amp;AB27)</f>
        <v>#REF!</v>
      </c>
      <c r="H27" s="68" t="e">
        <f>IF(OR(쪽쟘제작!#REF!&lt;&gt;쪽쟘제작!#REF!,쪽쟘제작!#REF!&lt;&gt;쪽쟘제작!#REF!),"",AE27&amp;"*"&amp;AD27)</f>
        <v>#REF!</v>
      </c>
      <c r="Z27">
        <v>949</v>
      </c>
      <c r="AA27">
        <v>154.4</v>
      </c>
      <c r="AB27">
        <v>162.4</v>
      </c>
      <c r="AC27">
        <v>2090</v>
      </c>
      <c r="AD27">
        <v>162.4</v>
      </c>
      <c r="AE27">
        <v>2090</v>
      </c>
    </row>
    <row r="28" spans="1:31">
      <c r="A28" s="50" t="e">
        <f>'쪽쟘(실측)'!#REF!</f>
        <v>#REF!</v>
      </c>
      <c r="B28" s="50" t="e">
        <f>'쪽쟘(실측)'!#REF!&amp;"F"</f>
        <v>#REF!</v>
      </c>
      <c r="C28" s="50" t="str">
        <f t="shared" si="0"/>
        <v>935*150.4</v>
      </c>
      <c r="D28" s="50" t="e">
        <f>'쪽쟘(실측)'!#REF!-OP차감</f>
        <v>#REF!</v>
      </c>
      <c r="E28" s="50" t="e">
        <f>'쪽쟘(실측)'!#REF!+쪽쟘J늘림+MAX(W28:X28)</f>
        <v>#REF!</v>
      </c>
      <c r="F28" s="50" t="e">
        <f>'쪽쟘(실측)'!#REF!+쪽쟘J늘림+MAX(W28:X28)</f>
        <v>#REF!</v>
      </c>
      <c r="G28" s="67" t="e">
        <f>IF(OR(쪽쟘제작!#REF!&lt;&gt;쪽쟘제작!#REF!,쪽쟘제작!#REF!&lt;&gt;쪽쟘제작!#REF!),"",AC28&amp;"*"&amp;AB28)</f>
        <v>#REF!</v>
      </c>
      <c r="H28" s="68" t="e">
        <f>IF(OR(쪽쟘제작!#REF!&lt;&gt;쪽쟘제작!#REF!,쪽쟘제작!#REF!&lt;&gt;쪽쟘제작!#REF!),"",AE28&amp;"*"&amp;AD28)</f>
        <v>#REF!</v>
      </c>
      <c r="Z28">
        <v>935</v>
      </c>
      <c r="AA28">
        <v>150.4</v>
      </c>
      <c r="AB28">
        <v>156.4</v>
      </c>
      <c r="AC28">
        <v>2090</v>
      </c>
      <c r="AD28">
        <v>155.4</v>
      </c>
      <c r="AE28">
        <v>2092</v>
      </c>
    </row>
    <row r="29" spans="1:31">
      <c r="A29" s="50" t="e">
        <f>'쪽쟘(실측)'!#REF!</f>
        <v>#REF!</v>
      </c>
      <c r="B29" s="50" t="e">
        <f>'쪽쟘(실측)'!#REF!&amp;"F"</f>
        <v>#REF!</v>
      </c>
      <c r="C29" s="50" t="str">
        <f t="shared" si="0"/>
        <v>943*163.4</v>
      </c>
      <c r="D29" s="50" t="e">
        <f>'쪽쟘(실측)'!#REF!-OP차감</f>
        <v>#REF!</v>
      </c>
      <c r="E29" s="50" t="e">
        <f>'쪽쟘(실측)'!#REF!+쪽쟘J늘림+MAX(W29:X29)</f>
        <v>#REF!</v>
      </c>
      <c r="F29" s="50" t="e">
        <f>'쪽쟘(실측)'!#REF!+쪽쟘J늘림+MAX(W29:X29)</f>
        <v>#REF!</v>
      </c>
      <c r="G29" s="67" t="e">
        <f>IF(OR(쪽쟘제작!#REF!&lt;&gt;쪽쟘제작!#REF!,쪽쟘제작!#REF!&lt;&gt;쪽쟘제작!#REF!),"",AC29&amp;"*"&amp;AB29)</f>
        <v>#REF!</v>
      </c>
      <c r="H29" s="68" t="e">
        <f>IF(OR(쪽쟘제작!#REF!&lt;&gt;쪽쟘제작!#REF!,쪽쟘제작!#REF!&lt;&gt;쪽쟘제작!#REF!),"",AE29&amp;"*"&amp;AD29)</f>
        <v>#REF!</v>
      </c>
      <c r="Z29">
        <v>943</v>
      </c>
      <c r="AA29">
        <v>163.4</v>
      </c>
      <c r="AB29">
        <v>164.4</v>
      </c>
      <c r="AC29">
        <v>2090</v>
      </c>
      <c r="AD29">
        <v>161.4</v>
      </c>
      <c r="AE29">
        <v>2090</v>
      </c>
    </row>
    <row r="30" spans="1:31">
      <c r="A30" s="50" t="e">
        <f>'쪽쟘(실측)'!#REF!</f>
        <v>#REF!</v>
      </c>
      <c r="B30" s="50" t="e">
        <f>'쪽쟘(실측)'!#REF!&amp;"F"</f>
        <v>#REF!</v>
      </c>
      <c r="C30" s="50" t="str">
        <f t="shared" si="0"/>
        <v>950*152.4</v>
      </c>
      <c r="D30" s="50" t="e">
        <f>'쪽쟘(실측)'!#REF!-OP차감</f>
        <v>#REF!</v>
      </c>
      <c r="E30" s="50" t="e">
        <f>'쪽쟘(실측)'!#REF!+쪽쟘J늘림+MAX(W30:X30)</f>
        <v>#REF!</v>
      </c>
      <c r="F30" s="50" t="e">
        <f>'쪽쟘(실측)'!#REF!+쪽쟘J늘림+MAX(W30:X30)</f>
        <v>#REF!</v>
      </c>
      <c r="G30" s="67" t="e">
        <f>IF(OR(쪽쟘제작!#REF!&lt;&gt;쪽쟘제작!#REF!,쪽쟘제작!#REF!&lt;&gt;쪽쟘제작!#REF!),"",AC30&amp;"*"&amp;AB30)</f>
        <v>#REF!</v>
      </c>
      <c r="H30" s="68" t="e">
        <f>IF(OR(쪽쟘제작!#REF!&lt;&gt;쪽쟘제작!#REF!,쪽쟘제작!#REF!&lt;&gt;쪽쟘제작!#REF!),"",AE30&amp;"*"&amp;AD30)</f>
        <v>#REF!</v>
      </c>
      <c r="Z30">
        <v>950</v>
      </c>
      <c r="AA30">
        <v>152.4</v>
      </c>
      <c r="AB30">
        <v>164.4</v>
      </c>
      <c r="AC30">
        <v>2086</v>
      </c>
      <c r="AD30">
        <v>162.4</v>
      </c>
      <c r="AE30">
        <v>2092</v>
      </c>
    </row>
    <row r="31" spans="1:31">
      <c r="A31" s="50" t="e">
        <f>'쪽쟘(실측)'!#REF!</f>
        <v>#REF!</v>
      </c>
      <c r="B31" s="50" t="e">
        <f>'쪽쟘(실측)'!#REF!&amp;"F"</f>
        <v>#REF!</v>
      </c>
      <c r="C31" s="50" t="str">
        <f t="shared" si="0"/>
        <v>944*155.4</v>
      </c>
      <c r="D31" s="50" t="e">
        <f>'쪽쟘(실측)'!#REF!-OP차감</f>
        <v>#REF!</v>
      </c>
      <c r="E31" s="50" t="e">
        <f>'쪽쟘(실측)'!#REF!+쪽쟘J늘림+MAX(W31:X31)</f>
        <v>#REF!</v>
      </c>
      <c r="F31" s="50" t="e">
        <f>'쪽쟘(실측)'!#REF!+쪽쟘J늘림+MAX(W31:X31)</f>
        <v>#REF!</v>
      </c>
      <c r="G31" s="67" t="e">
        <f>IF(OR(쪽쟘제작!#REF!&lt;&gt;쪽쟘제작!#REF!,쪽쟘제작!#REF!&lt;&gt;쪽쟘제작!#REF!),"",AC31&amp;"*"&amp;AB31)</f>
        <v>#REF!</v>
      </c>
      <c r="H31" s="68" t="e">
        <f>IF(OR(쪽쟘제작!#REF!&lt;&gt;쪽쟘제작!#REF!,쪽쟘제작!#REF!&lt;&gt;쪽쟘제작!#REF!),"",AE31&amp;"*"&amp;AD31)</f>
        <v>#REF!</v>
      </c>
      <c r="Z31">
        <v>944</v>
      </c>
      <c r="AA31">
        <v>155.4</v>
      </c>
      <c r="AB31">
        <v>164.4</v>
      </c>
      <c r="AC31">
        <v>2090</v>
      </c>
      <c r="AD31">
        <v>160.4</v>
      </c>
      <c r="AE31">
        <v>2092</v>
      </c>
    </row>
    <row r="32" spans="1:31">
      <c r="A32" s="50" t="e">
        <f>'쪽쟘(실측)'!#REF!</f>
        <v>#REF!</v>
      </c>
      <c r="B32" s="50" t="e">
        <f>'쪽쟘(실측)'!#REF!&amp;"F"</f>
        <v>#REF!</v>
      </c>
      <c r="C32" s="50" t="str">
        <f t="shared" si="0"/>
        <v>941*156.4</v>
      </c>
      <c r="D32" s="50" t="e">
        <f>'쪽쟘(실측)'!#REF!-OP차감</f>
        <v>#REF!</v>
      </c>
      <c r="E32" s="50" t="e">
        <f>'쪽쟘(실측)'!#REF!+쪽쟘J늘림+MAX(W32:X32)</f>
        <v>#REF!</v>
      </c>
      <c r="F32" s="50" t="e">
        <f>'쪽쟘(실측)'!#REF!+쪽쟘J늘림+MAX(W32:X32)</f>
        <v>#REF!</v>
      </c>
      <c r="G32" s="67" t="e">
        <f>IF(OR(쪽쟘제작!#REF!&lt;&gt;쪽쟘제작!#REF!,쪽쟘제작!#REF!&lt;&gt;쪽쟘제작!#REF!),"",AC32&amp;"*"&amp;AB32)</f>
        <v>#REF!</v>
      </c>
      <c r="H32" s="68" t="e">
        <f>IF(OR(쪽쟘제작!#REF!&lt;&gt;쪽쟘제작!#REF!,쪽쟘제작!#REF!&lt;&gt;쪽쟘제작!#REF!),"",AE32&amp;"*"&amp;AD32)</f>
        <v>#REF!</v>
      </c>
      <c r="Z32">
        <v>941</v>
      </c>
      <c r="AA32">
        <v>156.4</v>
      </c>
      <c r="AB32">
        <v>158.4</v>
      </c>
      <c r="AC32">
        <v>2088</v>
      </c>
      <c r="AD32">
        <v>162.4</v>
      </c>
      <c r="AE32">
        <v>2092</v>
      </c>
    </row>
    <row r="33" spans="1:31">
      <c r="A33" s="50" t="e">
        <f>'쪽쟘(실측)'!#REF!</f>
        <v>#REF!</v>
      </c>
      <c r="B33" s="50" t="e">
        <f>'쪽쟘(실측)'!#REF!&amp;"F"</f>
        <v>#REF!</v>
      </c>
      <c r="C33" s="50" t="str">
        <f t="shared" si="0"/>
        <v>949*148.4</v>
      </c>
      <c r="D33" s="50" t="e">
        <f>'쪽쟘(실측)'!#REF!-OP차감</f>
        <v>#REF!</v>
      </c>
      <c r="E33" s="50" t="e">
        <f>'쪽쟘(실측)'!#REF!+쪽쟘J늘림+MAX(W33:X33)</f>
        <v>#REF!</v>
      </c>
      <c r="F33" s="50" t="e">
        <f>'쪽쟘(실측)'!#REF!+쪽쟘J늘림+MAX(W33:X33)</f>
        <v>#REF!</v>
      </c>
      <c r="G33" s="67" t="e">
        <f>IF(OR(쪽쟘제작!#REF!&lt;&gt;쪽쟘제작!#REF!,쪽쟘제작!#REF!&lt;&gt;쪽쟘제작!#REF!),"",AC33&amp;"*"&amp;AB33)</f>
        <v>#REF!</v>
      </c>
      <c r="H33" s="68" t="e">
        <f>IF(OR(쪽쟘제작!#REF!&lt;&gt;쪽쟘제작!#REF!,쪽쟘제작!#REF!&lt;&gt;쪽쟘제작!#REF!),"",AE33&amp;"*"&amp;AD33)</f>
        <v>#REF!</v>
      </c>
      <c r="Z33">
        <v>949</v>
      </c>
      <c r="AA33">
        <v>148.4</v>
      </c>
      <c r="AB33">
        <v>164.4</v>
      </c>
      <c r="AC33">
        <v>2093</v>
      </c>
      <c r="AD33">
        <v>164.4</v>
      </c>
      <c r="AE33">
        <v>2092</v>
      </c>
    </row>
    <row r="34" spans="1:31">
      <c r="A34" s="50" t="e">
        <f>'쪽쟘(실측)'!#REF!</f>
        <v>#REF!</v>
      </c>
      <c r="B34" s="50" t="e">
        <f>'쪽쟘(실측)'!#REF!&amp;"F"</f>
        <v>#REF!</v>
      </c>
      <c r="C34" s="50" t="str">
        <f t="shared" si="0"/>
        <v>947*155.4</v>
      </c>
      <c r="D34" s="50" t="e">
        <f>'쪽쟘(실측)'!#REF!-OP차감</f>
        <v>#REF!</v>
      </c>
      <c r="E34" s="50" t="e">
        <f>'쪽쟘(실측)'!#REF!+쪽쟘J늘림+MAX(W34:X34)</f>
        <v>#REF!</v>
      </c>
      <c r="F34" s="50" t="e">
        <f>'쪽쟘(실측)'!#REF!+쪽쟘J늘림+MAX(W34:X34)</f>
        <v>#REF!</v>
      </c>
      <c r="G34" s="67" t="e">
        <f>IF(OR(쪽쟘제작!#REF!&lt;&gt;쪽쟘제작!#REF!,쪽쟘제작!#REF!&lt;&gt;쪽쟘제작!#REF!),"",AC34&amp;"*"&amp;AB34)</f>
        <v>#REF!</v>
      </c>
      <c r="H34" s="68" t="e">
        <f>IF(OR(쪽쟘제작!#REF!&lt;&gt;쪽쟘제작!#REF!,쪽쟘제작!#REF!&lt;&gt;쪽쟘제작!#REF!),"",AE34&amp;"*"&amp;AD34)</f>
        <v>#REF!</v>
      </c>
      <c r="Z34">
        <v>947</v>
      </c>
      <c r="AA34">
        <v>155.4</v>
      </c>
      <c r="AB34">
        <v>161.4</v>
      </c>
      <c r="AC34">
        <v>2088</v>
      </c>
      <c r="AD34">
        <v>162.4</v>
      </c>
      <c r="AE34">
        <v>2092</v>
      </c>
    </row>
    <row r="35" spans="1:31">
      <c r="A35" s="50" t="e">
        <f>'쪽쟘(실측)'!#REF!</f>
        <v>#REF!</v>
      </c>
      <c r="B35" s="50" t="e">
        <f>'쪽쟘(실측)'!#REF!&amp;"F"</f>
        <v>#REF!</v>
      </c>
      <c r="C35" s="50" t="str">
        <f t="shared" si="0"/>
        <v>950*158.4</v>
      </c>
      <c r="D35" s="50" t="e">
        <f>'쪽쟘(실측)'!#REF!-OP차감</f>
        <v>#REF!</v>
      </c>
      <c r="E35" s="50" t="e">
        <f>'쪽쟘(실측)'!#REF!+쪽쟘J늘림+MAX(W35:X35)</f>
        <v>#REF!</v>
      </c>
      <c r="F35" s="50" t="e">
        <f>'쪽쟘(실측)'!#REF!+쪽쟘J늘림+MAX(W35:X35)</f>
        <v>#REF!</v>
      </c>
      <c r="G35" s="67" t="e">
        <f>IF(OR(쪽쟘제작!#REF!&lt;&gt;쪽쟘제작!#REF!,쪽쟘제작!#REF!&lt;&gt;쪽쟘제작!#REF!),"",AC35&amp;"*"&amp;AB35)</f>
        <v>#REF!</v>
      </c>
      <c r="H35" s="68" t="e">
        <f>IF(OR(쪽쟘제작!#REF!&lt;&gt;쪽쟘제작!#REF!,쪽쟘제작!#REF!&lt;&gt;쪽쟘제작!#REF!),"",AE35&amp;"*"&amp;AD35)</f>
        <v>#REF!</v>
      </c>
      <c r="Z35">
        <v>950</v>
      </c>
      <c r="AA35">
        <v>158.4</v>
      </c>
      <c r="AB35">
        <v>161.4</v>
      </c>
      <c r="AC35">
        <v>2090</v>
      </c>
      <c r="AD35">
        <v>164.4</v>
      </c>
      <c r="AE35">
        <v>2092</v>
      </c>
    </row>
    <row r="36" spans="1:31">
      <c r="A36" s="50" t="e">
        <f>'쪽쟘(실측)'!#REF!</f>
        <v>#REF!</v>
      </c>
      <c r="B36" s="50" t="e">
        <f>'쪽쟘(실측)'!#REF!&amp;"F"</f>
        <v>#REF!</v>
      </c>
      <c r="C36" s="50" t="str">
        <f t="shared" si="0"/>
        <v>944*158.4</v>
      </c>
      <c r="D36" s="50" t="e">
        <f>'쪽쟘(실측)'!#REF!-OP차감</f>
        <v>#REF!</v>
      </c>
      <c r="E36" s="50" t="e">
        <f>'쪽쟘(실측)'!#REF!+쪽쟘J늘림+MAX(W36:X36)</f>
        <v>#REF!</v>
      </c>
      <c r="F36" s="50" t="e">
        <f>'쪽쟘(실측)'!#REF!+쪽쟘J늘림+MAX(W36:X36)</f>
        <v>#REF!</v>
      </c>
      <c r="G36" s="67" t="e">
        <f>IF(OR(쪽쟘제작!#REF!&lt;&gt;쪽쟘제작!#REF!,쪽쟘제작!#REF!&lt;&gt;쪽쟘제작!#REF!),"",AC36&amp;"*"&amp;AB36)</f>
        <v>#REF!</v>
      </c>
      <c r="H36" s="68" t="e">
        <f>IF(OR(쪽쟘제작!#REF!&lt;&gt;쪽쟘제작!#REF!,쪽쟘제작!#REF!&lt;&gt;쪽쟘제작!#REF!),"",AE36&amp;"*"&amp;AD36)</f>
        <v>#REF!</v>
      </c>
      <c r="Z36">
        <v>944</v>
      </c>
      <c r="AA36">
        <v>158.4</v>
      </c>
      <c r="AB36">
        <v>164.4</v>
      </c>
      <c r="AC36">
        <v>2093</v>
      </c>
      <c r="AD36">
        <v>163.4</v>
      </c>
      <c r="AE36">
        <v>2092</v>
      </c>
    </row>
    <row r="37" spans="1:31">
      <c r="A37" s="50" t="e">
        <f>'쪽쟘(실측)'!#REF!</f>
        <v>#REF!</v>
      </c>
      <c r="B37" s="50" t="e">
        <f>'쪽쟘(실측)'!#REF!&amp;"F"</f>
        <v>#REF!</v>
      </c>
      <c r="C37" s="50" t="str">
        <f>Z37&amp;"*"&amp;AA37</f>
        <v>949*157.4</v>
      </c>
      <c r="D37" s="50" t="e">
        <f>'쪽쟘(실측)'!#REF!-OP차감</f>
        <v>#REF!</v>
      </c>
      <c r="E37" s="50" t="e">
        <f>'쪽쟘(실측)'!#REF!+쪽쟘J늘림+MAX(W37:X37)</f>
        <v>#REF!</v>
      </c>
      <c r="F37" s="50" t="e">
        <f>'쪽쟘(실측)'!#REF!+쪽쟘J늘림+MAX(W37:X37)</f>
        <v>#REF!</v>
      </c>
      <c r="G37" s="67" t="e">
        <f>IF(OR(쪽쟘제작!#REF!&lt;&gt;쪽쟘제작!#REF!,쪽쟘제작!#REF!&lt;&gt;쪽쟘제작!#REF!),"",AC37&amp;"*"&amp;AB37)</f>
        <v>#REF!</v>
      </c>
      <c r="H37" s="68" t="e">
        <f>IF(OR(쪽쟘제작!#REF!&lt;&gt;쪽쟘제작!#REF!,쪽쟘제작!#REF!&lt;&gt;쪽쟘제작!#REF!),"",AE37&amp;"*"&amp;AD37)</f>
        <v>#REF!</v>
      </c>
      <c r="Z37">
        <v>949</v>
      </c>
      <c r="AA37">
        <v>157.4</v>
      </c>
      <c r="AB37">
        <v>162.4</v>
      </c>
      <c r="AC37">
        <v>2092</v>
      </c>
      <c r="AD37">
        <v>162.4</v>
      </c>
      <c r="AE37">
        <v>2094</v>
      </c>
    </row>
    <row r="38" spans="1:31">
      <c r="A38" s="50" t="e">
        <f>'쪽쟘(실측)'!#REF!</f>
        <v>#REF!</v>
      </c>
      <c r="B38" s="50" t="e">
        <f>'쪽쟘(실측)'!#REF!&amp;"F"</f>
        <v>#REF!</v>
      </c>
      <c r="C38" s="50" t="str">
        <f t="shared" ref="C38:C48" si="1">Z38&amp;"*"&amp;AA38</f>
        <v>952*155.4</v>
      </c>
      <c r="D38" s="50" t="e">
        <f>'쪽쟘(실측)'!#REF!-OP차감</f>
        <v>#REF!</v>
      </c>
      <c r="E38" s="50" t="e">
        <f>'쪽쟘(실측)'!#REF!+쪽쟘J늘림+MAX(W38:X38)</f>
        <v>#REF!</v>
      </c>
      <c r="F38" s="50" t="e">
        <f>'쪽쟘(실측)'!#REF!+쪽쟘J늘림+MAX(W38:X38)</f>
        <v>#REF!</v>
      </c>
      <c r="G38" s="67" t="e">
        <f>IF(OR(쪽쟘제작!#REF!&lt;&gt;쪽쟘제작!#REF!,쪽쟘제작!#REF!&lt;&gt;쪽쟘제작!#REF!),"",AC38&amp;"*"&amp;AB38)</f>
        <v>#REF!</v>
      </c>
      <c r="H38" s="68" t="e">
        <f>IF(OR(쪽쟘제작!#REF!&lt;&gt;쪽쟘제작!#REF!,쪽쟘제작!#REF!&lt;&gt;쪽쟘제작!#REF!),"",AE38&amp;"*"&amp;AD38)</f>
        <v>#REF!</v>
      </c>
      <c r="Z38">
        <v>952</v>
      </c>
      <c r="AA38">
        <v>155.4</v>
      </c>
      <c r="AB38">
        <v>164.4</v>
      </c>
      <c r="AC38">
        <v>2088</v>
      </c>
      <c r="AD38">
        <v>164.4</v>
      </c>
      <c r="AE38">
        <v>2088</v>
      </c>
    </row>
    <row r="39" spans="1:31" ht="17.25" thickBot="1">
      <c r="A39" s="164" t="e">
        <f>'쪽쟘(실측)'!#REF!</f>
        <v>#REF!</v>
      </c>
      <c r="B39" s="164" t="e">
        <f>'쪽쟘(실측)'!#REF!&amp;"F"</f>
        <v>#REF!</v>
      </c>
      <c r="C39" s="164" t="str">
        <f t="shared" si="1"/>
        <v>950*155.4</v>
      </c>
      <c r="D39" s="164" t="e">
        <f>'쪽쟘(실측)'!#REF!-OP차감</f>
        <v>#REF!</v>
      </c>
      <c r="E39" s="164" t="e">
        <f>'쪽쟘(실측)'!#REF!+쪽쟘J늘림+MAX(W39:X39)</f>
        <v>#REF!</v>
      </c>
      <c r="F39" s="164" t="e">
        <f>'쪽쟘(실측)'!#REF!+쪽쟘J늘림+MAX(W39:X39)</f>
        <v>#REF!</v>
      </c>
      <c r="G39" s="165" t="e">
        <f>IF(OR(쪽쟘제작!#REF!&lt;&gt;쪽쟘제작!#REF!,쪽쟘제작!#REF!&lt;&gt;쪽쟘제작!#REF!),"",AC39&amp;"*"&amp;AB39)</f>
        <v>#REF!</v>
      </c>
      <c r="H39" s="166" t="e">
        <f>IF(OR(쪽쟘제작!#REF!&lt;&gt;쪽쟘제작!#REF!,쪽쟘제작!#REF!&lt;&gt;쪽쟘제작!#REF!),"",AE39&amp;"*"&amp;AD39)</f>
        <v>#REF!</v>
      </c>
      <c r="Z39">
        <v>950</v>
      </c>
      <c r="AA39">
        <v>155.4</v>
      </c>
      <c r="AB39">
        <v>162.4</v>
      </c>
      <c r="AC39">
        <v>2094</v>
      </c>
      <c r="AD39">
        <v>164.4</v>
      </c>
      <c r="AE39">
        <v>2094</v>
      </c>
    </row>
    <row r="40" spans="1:31">
      <c r="A40" s="161" t="e">
        <f>'쪽쟘(실측)'!#REF!</f>
        <v>#REF!</v>
      </c>
      <c r="B40" s="161" t="e">
        <f>'쪽쟘(실측)'!#REF!&amp;"F"</f>
        <v>#REF!</v>
      </c>
      <c r="C40" s="161" t="str">
        <f t="shared" si="1"/>
        <v>940*170.4</v>
      </c>
      <c r="D40" s="161" t="e">
        <f>'쪽쟘(실측)'!#REF!-OP차감</f>
        <v>#REF!</v>
      </c>
      <c r="E40" s="161" t="e">
        <f>'쪽쟘(실측)'!#REF!+쪽쟘J늘림+MAX(W40:X40)</f>
        <v>#REF!</v>
      </c>
      <c r="F40" s="161" t="e">
        <f>'쪽쟘(실측)'!#REF!+쪽쟘J늘림+MAX(W40:X40)</f>
        <v>#REF!</v>
      </c>
      <c r="G40" s="162" t="e">
        <f>IF(OR(쪽쟘제작!#REF!&lt;&gt;쪽쟘제작!#REF!,쪽쟘제작!#REF!&lt;&gt;쪽쟘제작!#REF!),"",AC40&amp;"*"&amp;AB40)</f>
        <v>#REF!</v>
      </c>
      <c r="H40" s="163" t="e">
        <f>IF(OR(쪽쟘제작!#REF!&lt;&gt;쪽쟘제작!#REF!,쪽쟘제작!#REF!&lt;&gt;쪽쟘제작!#REF!),"",AE40&amp;"*"&amp;AD40)</f>
        <v>#REF!</v>
      </c>
      <c r="Z40">
        <v>940</v>
      </c>
      <c r="AA40">
        <v>170.4</v>
      </c>
      <c r="AB40">
        <v>162.4</v>
      </c>
      <c r="AC40">
        <v>2093</v>
      </c>
      <c r="AD40">
        <v>154.4</v>
      </c>
      <c r="AE40">
        <v>2090</v>
      </c>
    </row>
    <row r="41" spans="1:31">
      <c r="A41" s="50" t="e">
        <f>'쪽쟘(실측)'!#REF!</f>
        <v>#REF!</v>
      </c>
      <c r="B41" s="50" t="e">
        <f>'쪽쟘(실측)'!#REF!&amp;"F"</f>
        <v>#REF!</v>
      </c>
      <c r="C41" s="50" t="str">
        <f t="shared" si="1"/>
        <v>935*160.4</v>
      </c>
      <c r="D41" s="50" t="e">
        <f>'쪽쟘(실측)'!#REF!-OP차감</f>
        <v>#REF!</v>
      </c>
      <c r="E41" s="50" t="e">
        <f>'쪽쟘(실측)'!#REF!+쪽쟘J늘림+MAX(W41:X41)</f>
        <v>#REF!</v>
      </c>
      <c r="F41" s="50" t="e">
        <f>'쪽쟘(실측)'!#REF!+쪽쟘J늘림+MAX(W41:X41)</f>
        <v>#REF!</v>
      </c>
      <c r="G41" s="67" t="e">
        <f>IF(OR(쪽쟘제작!#REF!&lt;&gt;쪽쟘제작!#REF!,쪽쟘제작!#REF!&lt;&gt;쪽쟘제작!#REF!),"",AC41&amp;"*"&amp;AB41)</f>
        <v>#REF!</v>
      </c>
      <c r="H41" s="68" t="e">
        <f>IF(OR(쪽쟘제작!#REF!&lt;&gt;쪽쟘제작!#REF!,쪽쟘제작!#REF!&lt;&gt;쪽쟘제작!#REF!),"",AE41&amp;"*"&amp;AD41)</f>
        <v>#REF!</v>
      </c>
      <c r="Z41">
        <v>935</v>
      </c>
      <c r="AA41">
        <v>160.4</v>
      </c>
      <c r="AB41">
        <v>156.4</v>
      </c>
      <c r="AC41">
        <v>2087</v>
      </c>
      <c r="AD41">
        <v>155.4</v>
      </c>
      <c r="AE41">
        <v>2086</v>
      </c>
    </row>
    <row r="42" spans="1:31">
      <c r="A42" s="50" t="e">
        <f>'쪽쟘(실측)'!#REF!</f>
        <v>#REF!</v>
      </c>
      <c r="B42" s="50" t="e">
        <f>'쪽쟘(실측)'!#REF!&amp;"F"</f>
        <v>#REF!</v>
      </c>
      <c r="C42" s="50" t="str">
        <f t="shared" si="1"/>
        <v>934*161.4</v>
      </c>
      <c r="D42" s="50" t="e">
        <f>'쪽쟘(실측)'!#REF!-OP차감</f>
        <v>#REF!</v>
      </c>
      <c r="E42" s="50" t="e">
        <f>'쪽쟘(실측)'!#REF!+쪽쟘J늘림+MAX(W42:X42)</f>
        <v>#REF!</v>
      </c>
      <c r="F42" s="50" t="e">
        <f>'쪽쟘(실측)'!#REF!+쪽쟘J늘림+MAX(W42:X42)</f>
        <v>#REF!</v>
      </c>
      <c r="G42" s="67" t="e">
        <f>IF(OR(쪽쟘제작!#REF!&lt;&gt;쪽쟘제작!#REF!,쪽쟘제작!#REF!&lt;&gt;쪽쟘제작!#REF!),"",AC42&amp;"*"&amp;AB42)</f>
        <v>#REF!</v>
      </c>
      <c r="H42" s="68" t="e">
        <f>IF(OR(쪽쟘제작!#REF!&lt;&gt;쪽쟘제작!#REF!,쪽쟘제작!#REF!&lt;&gt;쪽쟘제작!#REF!),"",AE42&amp;"*"&amp;AD42)</f>
        <v>#REF!</v>
      </c>
      <c r="Z42">
        <v>934</v>
      </c>
      <c r="AA42">
        <v>161.4</v>
      </c>
      <c r="AB42">
        <v>161.4</v>
      </c>
      <c r="AC42">
        <v>2093</v>
      </c>
      <c r="AD42">
        <v>154.4</v>
      </c>
      <c r="AE42">
        <v>2090</v>
      </c>
    </row>
    <row r="43" spans="1:31">
      <c r="A43" s="50" t="e">
        <f>'쪽쟘(실측)'!#REF!</f>
        <v>#REF!</v>
      </c>
      <c r="B43" s="50" t="e">
        <f>'쪽쟘(실측)'!#REF!&amp;"F"</f>
        <v>#REF!</v>
      </c>
      <c r="C43" s="50" t="str">
        <f t="shared" si="1"/>
        <v>947*165.4</v>
      </c>
      <c r="D43" s="50" t="e">
        <f>'쪽쟘(실측)'!#REF!-OP차감</f>
        <v>#REF!</v>
      </c>
      <c r="E43" s="50" t="e">
        <f>'쪽쟘(실측)'!#REF!+쪽쟘J늘림+MAX(W43:X43)</f>
        <v>#REF!</v>
      </c>
      <c r="F43" s="50" t="e">
        <f>'쪽쟘(실측)'!#REF!+쪽쟘J늘림+MAX(W43:X43)</f>
        <v>#REF!</v>
      </c>
      <c r="G43" s="67" t="e">
        <f>IF(OR(쪽쟘제작!#REF!&lt;&gt;쪽쟘제작!#REF!,쪽쟘제작!#REF!&lt;&gt;쪽쟘제작!#REF!),"",AC43&amp;"*"&amp;AB43)</f>
        <v>#REF!</v>
      </c>
      <c r="H43" s="68" t="e">
        <f>IF(OR(쪽쟘제작!#REF!&lt;&gt;쪽쟘제작!#REF!,쪽쟘제작!#REF!&lt;&gt;쪽쟘제작!#REF!),"",AE43&amp;"*"&amp;AD43)</f>
        <v>#REF!</v>
      </c>
      <c r="Z43">
        <v>947</v>
      </c>
      <c r="AA43">
        <v>165.4</v>
      </c>
      <c r="AB43">
        <v>161.4</v>
      </c>
      <c r="AC43">
        <v>2093</v>
      </c>
      <c r="AD43">
        <v>161.4</v>
      </c>
      <c r="AE43">
        <v>2090</v>
      </c>
    </row>
    <row r="44" spans="1:31">
      <c r="A44" s="50" t="e">
        <f>'쪽쟘(실측)'!#REF!</f>
        <v>#REF!</v>
      </c>
      <c r="B44" s="50" t="e">
        <f>'쪽쟘(실측)'!#REF!&amp;"F"</f>
        <v>#REF!</v>
      </c>
      <c r="C44" s="50" t="str">
        <f t="shared" si="1"/>
        <v>932*162.4</v>
      </c>
      <c r="D44" s="50" t="e">
        <f>'쪽쟘(실측)'!#REF!-OP차감</f>
        <v>#REF!</v>
      </c>
      <c r="E44" s="50" t="e">
        <f>'쪽쟘(실측)'!#REF!+쪽쟘J늘림+MAX(W44:X44)</f>
        <v>#REF!</v>
      </c>
      <c r="F44" s="50" t="e">
        <f>'쪽쟘(실측)'!#REF!+쪽쟘J늘림+MAX(W44:X44)</f>
        <v>#REF!</v>
      </c>
      <c r="G44" s="67" t="e">
        <f>IF(OR(쪽쟘제작!#REF!&lt;&gt;쪽쟘제작!#REF!,쪽쟘제작!#REF!&lt;&gt;쪽쟘제작!#REF!),"",AC44&amp;"*"&amp;AB44)</f>
        <v>#REF!</v>
      </c>
      <c r="H44" s="68" t="e">
        <f>IF(OR(쪽쟘제작!#REF!&lt;&gt;쪽쟘제작!#REF!,쪽쟘제작!#REF!&lt;&gt;쪽쟘제작!#REF!),"",AE44&amp;"*"&amp;AD44)</f>
        <v>#REF!</v>
      </c>
      <c r="Z44">
        <v>932</v>
      </c>
      <c r="AA44">
        <v>162.4</v>
      </c>
      <c r="AB44">
        <v>153.4</v>
      </c>
      <c r="AC44">
        <v>2090</v>
      </c>
      <c r="AD44">
        <v>154.4</v>
      </c>
      <c r="AE44">
        <v>2090</v>
      </c>
    </row>
    <row r="45" spans="1:31">
      <c r="A45" s="50" t="e">
        <f>'쪽쟘(실측)'!#REF!</f>
        <v>#REF!</v>
      </c>
      <c r="B45" s="50" t="e">
        <f>'쪽쟘(실측)'!#REF!&amp;"F"</f>
        <v>#REF!</v>
      </c>
      <c r="C45" s="50" t="str">
        <f t="shared" si="1"/>
        <v>932*166.4</v>
      </c>
      <c r="D45" s="50" t="e">
        <f>'쪽쟘(실측)'!#REF!-OP차감</f>
        <v>#REF!</v>
      </c>
      <c r="E45" s="50" t="e">
        <f>'쪽쟘(실측)'!#REF!+쪽쟘J늘림+MAX(W45:X45)</f>
        <v>#REF!</v>
      </c>
      <c r="F45" s="50" t="e">
        <f>'쪽쟘(실측)'!#REF!+쪽쟘J늘림+MAX(W45:X45)</f>
        <v>#REF!</v>
      </c>
      <c r="G45" s="67" t="e">
        <f>IF(OR(쪽쟘제작!#REF!&lt;&gt;쪽쟘제작!#REF!,쪽쟘제작!#REF!&lt;&gt;쪽쟘제작!#REF!),"",AC45&amp;"*"&amp;AB45)</f>
        <v>#REF!</v>
      </c>
      <c r="H45" s="68" t="e">
        <f>IF(OR(쪽쟘제작!#REF!&lt;&gt;쪽쟘제작!#REF!,쪽쟘제작!#REF!&lt;&gt;쪽쟘제작!#REF!),"",AE45&amp;"*"&amp;AD45)</f>
        <v>#REF!</v>
      </c>
      <c r="Z45">
        <v>932</v>
      </c>
      <c r="AA45">
        <v>166.4</v>
      </c>
      <c r="AB45">
        <v>154.4</v>
      </c>
      <c r="AC45">
        <v>2092</v>
      </c>
      <c r="AD45">
        <v>154.4</v>
      </c>
      <c r="AE45">
        <v>2092</v>
      </c>
    </row>
    <row r="46" spans="1:31">
      <c r="A46" s="50" t="e">
        <f>'쪽쟘(실측)'!#REF!</f>
        <v>#REF!</v>
      </c>
      <c r="B46" s="50" t="e">
        <f>'쪽쟘(실측)'!#REF!&amp;"F"</f>
        <v>#REF!</v>
      </c>
      <c r="C46" s="50" t="str">
        <f t="shared" si="1"/>
        <v>939*165.4</v>
      </c>
      <c r="D46" s="50" t="e">
        <f>'쪽쟘(실측)'!#REF!-OP차감</f>
        <v>#REF!</v>
      </c>
      <c r="E46" s="50" t="e">
        <f>'쪽쟘(실측)'!#REF!+쪽쟘J늘림+MAX(W46:X46)</f>
        <v>#REF!</v>
      </c>
      <c r="F46" s="50" t="e">
        <f>'쪽쟘(실측)'!#REF!+쪽쟘J늘림+MAX(W46:X46)</f>
        <v>#REF!</v>
      </c>
      <c r="G46" s="67" t="e">
        <f>IF(OR(쪽쟘제작!#REF!&lt;&gt;쪽쟘제작!#REF!,쪽쟘제작!#REF!&lt;&gt;쪽쟘제작!#REF!),"",AC46&amp;"*"&amp;AB46)</f>
        <v>#REF!</v>
      </c>
      <c r="H46" s="68" t="e">
        <f>IF(OR(쪽쟘제작!#REF!&lt;&gt;쪽쟘제작!#REF!,쪽쟘제작!#REF!&lt;&gt;쪽쟘제작!#REF!),"",AE46&amp;"*"&amp;AD46)</f>
        <v>#REF!</v>
      </c>
      <c r="Z46">
        <v>939</v>
      </c>
      <c r="AA46">
        <v>165.4</v>
      </c>
      <c r="AB46">
        <v>155.4</v>
      </c>
      <c r="AC46">
        <v>2093</v>
      </c>
      <c r="AD46">
        <v>160.4</v>
      </c>
      <c r="AE46">
        <v>2090</v>
      </c>
    </row>
    <row r="47" spans="1:31">
      <c r="A47" s="50" t="e">
        <f>'쪽쟘(실측)'!#REF!</f>
        <v>#REF!</v>
      </c>
      <c r="B47" s="50" t="e">
        <f>'쪽쟘(실측)'!#REF!&amp;"F"</f>
        <v>#REF!</v>
      </c>
      <c r="C47" s="50" t="str">
        <f t="shared" si="1"/>
        <v>939*165.4</v>
      </c>
      <c r="D47" s="50" t="e">
        <f>'쪽쟘(실측)'!#REF!-OP차감</f>
        <v>#REF!</v>
      </c>
      <c r="E47" s="50" t="e">
        <f>'쪽쟘(실측)'!#REF!+쪽쟘J늘림+MAX(W47:X47)</f>
        <v>#REF!</v>
      </c>
      <c r="F47" s="50" t="e">
        <f>'쪽쟘(실측)'!#REF!+쪽쟘J늘림+MAX(W47:X47)</f>
        <v>#REF!</v>
      </c>
      <c r="G47" s="67" t="e">
        <f>IF(OR(쪽쟘제작!#REF!&lt;&gt;쪽쟘제작!#REF!,쪽쟘제작!#REF!&lt;&gt;쪽쟘제작!#REF!),"",AC47&amp;"*"&amp;AB47)</f>
        <v>#REF!</v>
      </c>
      <c r="H47" s="68" t="e">
        <f>IF(OR(쪽쟘제작!#REF!&lt;&gt;쪽쟘제작!#REF!,쪽쟘제작!#REF!&lt;&gt;쪽쟘제작!#REF!),"",AE47&amp;"*"&amp;AD47)</f>
        <v>#REF!</v>
      </c>
      <c r="Z47">
        <v>939</v>
      </c>
      <c r="AA47">
        <v>165.4</v>
      </c>
      <c r="AB47">
        <v>159.4</v>
      </c>
      <c r="AC47">
        <v>2092</v>
      </c>
      <c r="AD47">
        <v>155.4</v>
      </c>
      <c r="AE47">
        <v>2092</v>
      </c>
    </row>
    <row r="48" spans="1:31">
      <c r="A48" s="50" t="e">
        <f>'쪽쟘(실측)'!#REF!</f>
        <v>#REF!</v>
      </c>
      <c r="B48" s="50" t="e">
        <f>'쪽쟘(실측)'!#REF!&amp;"F"</f>
        <v>#REF!</v>
      </c>
      <c r="C48" s="50" t="str">
        <f t="shared" si="1"/>
        <v>932*165.4</v>
      </c>
      <c r="D48" s="50" t="e">
        <f>'쪽쟘(실측)'!#REF!-OP차감</f>
        <v>#REF!</v>
      </c>
      <c r="E48" s="50" t="e">
        <f>'쪽쟘(실측)'!#REF!+쪽쟘J늘림+MAX(W48:X48)</f>
        <v>#REF!</v>
      </c>
      <c r="F48" s="50" t="e">
        <f>'쪽쟘(실측)'!#REF!+쪽쟘J늘림+MAX(W48:X48)</f>
        <v>#REF!</v>
      </c>
      <c r="G48" s="67" t="e">
        <f>IF(OR(쪽쟘제작!#REF!&lt;&gt;쪽쟘제작!#REF!,쪽쟘제작!#REF!&lt;&gt;쪽쟘제작!#REF!),"",AC48&amp;"*"&amp;AB48)</f>
        <v>#REF!</v>
      </c>
      <c r="H48" s="68" t="e">
        <f>IF(OR(쪽쟘제작!#REF!&lt;&gt;쪽쟘제작!#REF!,쪽쟘제작!#REF!&lt;&gt;쪽쟘제작!#REF!),"",AE48&amp;"*"&amp;AD48)</f>
        <v>#REF!</v>
      </c>
      <c r="Z48">
        <v>932</v>
      </c>
      <c r="AA48">
        <v>165.4</v>
      </c>
      <c r="AB48">
        <v>155.4</v>
      </c>
      <c r="AC48">
        <v>2090</v>
      </c>
      <c r="AD48">
        <v>153.4</v>
      </c>
      <c r="AE48">
        <v>2090</v>
      </c>
    </row>
    <row r="49" spans="1:31">
      <c r="A49" s="50" t="e">
        <f>'쪽쟘(실측)'!#REF!</f>
        <v>#REF!</v>
      </c>
      <c r="B49" s="50" t="e">
        <f>'쪽쟘(실측)'!#REF!&amp;"F"</f>
        <v>#REF!</v>
      </c>
      <c r="C49" s="50" t="str">
        <f>Z49&amp;"*"&amp;AA49</f>
        <v>933*165.4</v>
      </c>
      <c r="D49" s="50" t="e">
        <f>'쪽쟘(실측)'!#REF!-OP차감</f>
        <v>#REF!</v>
      </c>
      <c r="E49" s="50" t="e">
        <f>'쪽쟘(실측)'!#REF!+쪽쟘J늘림+MAX(W49:X49)</f>
        <v>#REF!</v>
      </c>
      <c r="F49" s="50" t="e">
        <f>'쪽쟘(실측)'!#REF!+쪽쟘J늘림+MAX(W49:X49)</f>
        <v>#REF!</v>
      </c>
      <c r="G49" s="67" t="e">
        <f>IF(OR(쪽쟘제작!#REF!&lt;&gt;쪽쟘제작!#REF!,쪽쟘제작!#REF!&lt;&gt;쪽쟘제작!#REF!),"",AC49&amp;"*"&amp;AB49)</f>
        <v>#REF!</v>
      </c>
      <c r="H49" s="68" t="e">
        <f>IF(OR(쪽쟘제작!#REF!&lt;&gt;쪽쟘제작!#REF!,쪽쟘제작!#REF!&lt;&gt;쪽쟘제작!#REF!),"",AE49&amp;"*"&amp;AD49)</f>
        <v>#REF!</v>
      </c>
      <c r="Z49">
        <v>933</v>
      </c>
      <c r="AA49">
        <v>165.4</v>
      </c>
      <c r="AB49">
        <v>155.4</v>
      </c>
      <c r="AC49">
        <v>2090</v>
      </c>
      <c r="AD49">
        <v>154.4</v>
      </c>
      <c r="AE49">
        <v>2092</v>
      </c>
    </row>
    <row r="50" spans="1:31">
      <c r="A50" s="50" t="e">
        <f>'쪽쟘(실측)'!#REF!</f>
        <v>#REF!</v>
      </c>
      <c r="B50" s="50" t="e">
        <f>'쪽쟘(실측)'!#REF!&amp;"F"</f>
        <v>#REF!</v>
      </c>
      <c r="C50" s="50" t="str">
        <f t="shared" ref="C50:C56" si="2">Z50&amp;"*"&amp;AA50</f>
        <v>949*165.4</v>
      </c>
      <c r="D50" s="50" t="e">
        <f>'쪽쟘(실측)'!#REF!-OP차감</f>
        <v>#REF!</v>
      </c>
      <c r="E50" s="50" t="e">
        <f>'쪽쟘(실측)'!#REF!+쪽쟘J늘림+MAX(W50:X50)</f>
        <v>#REF!</v>
      </c>
      <c r="F50" s="50" t="e">
        <f>'쪽쟘(실측)'!#REF!+쪽쟘J늘림+MAX(W50:X50)</f>
        <v>#REF!</v>
      </c>
      <c r="G50" s="67" t="e">
        <f>IF(OR(쪽쟘제작!#REF!&lt;&gt;쪽쟘제작!#REF!,쪽쟘제작!#REF!&lt;&gt;쪽쟘제작!#REF!),"",AC50&amp;"*"&amp;AB50)</f>
        <v>#REF!</v>
      </c>
      <c r="H50" s="68" t="e">
        <f>IF(OR(쪽쟘제작!#REF!&lt;&gt;쪽쟘제작!#REF!,쪽쟘제작!#REF!&lt;&gt;쪽쟘제작!#REF!),"",AE50&amp;"*"&amp;AD50)</f>
        <v>#REF!</v>
      </c>
      <c r="Z50">
        <v>949</v>
      </c>
      <c r="AA50">
        <v>165.4</v>
      </c>
      <c r="AB50">
        <v>164.4</v>
      </c>
      <c r="AC50">
        <v>2090</v>
      </c>
      <c r="AD50">
        <v>164.4</v>
      </c>
      <c r="AE50">
        <v>2090</v>
      </c>
    </row>
    <row r="51" spans="1:31">
      <c r="A51" s="50" t="e">
        <f>'쪽쟘(실측)'!#REF!</f>
        <v>#REF!</v>
      </c>
      <c r="B51" s="50" t="e">
        <f>'쪽쟘(실측)'!#REF!&amp;"F"</f>
        <v>#REF!</v>
      </c>
      <c r="C51" s="50" t="str">
        <f t="shared" si="2"/>
        <v>944*164.4</v>
      </c>
      <c r="D51" s="50" t="e">
        <f>'쪽쟘(실측)'!#REF!-OP차감</f>
        <v>#REF!</v>
      </c>
      <c r="E51" s="50" t="e">
        <f>'쪽쟘(실측)'!#REF!+쪽쟘J늘림+MAX(W51:X51)</f>
        <v>#REF!</v>
      </c>
      <c r="F51" s="50" t="e">
        <f>'쪽쟘(실측)'!#REF!+쪽쟘J늘림+MAX(W51:X51)</f>
        <v>#REF!</v>
      </c>
      <c r="G51" s="67" t="e">
        <f>IF(OR(쪽쟘제작!#REF!&lt;&gt;쪽쟘제작!#REF!,쪽쟘제작!#REF!&lt;&gt;쪽쟘제작!#REF!),"",AC51&amp;"*"&amp;AB51)</f>
        <v>#REF!</v>
      </c>
      <c r="H51" s="68" t="e">
        <f>IF(OR(쪽쟘제작!#REF!&lt;&gt;쪽쟘제작!#REF!,쪽쟘제작!#REF!&lt;&gt;쪽쟘제작!#REF!),"",AE51&amp;"*"&amp;AD51)</f>
        <v>#REF!</v>
      </c>
      <c r="Z51">
        <v>944</v>
      </c>
      <c r="AA51">
        <v>164.4</v>
      </c>
      <c r="AB51">
        <v>159.4</v>
      </c>
      <c r="AC51">
        <v>2090</v>
      </c>
      <c r="AD51">
        <v>164.4</v>
      </c>
      <c r="AE51">
        <v>2092</v>
      </c>
    </row>
    <row r="52" spans="1:31">
      <c r="A52" s="50" t="e">
        <f>'쪽쟘(실측)'!#REF!</f>
        <v>#REF!</v>
      </c>
      <c r="B52" s="50" t="e">
        <f>'쪽쟘(실측)'!#REF!&amp;"F"</f>
        <v>#REF!</v>
      </c>
      <c r="C52" s="50" t="str">
        <f t="shared" si="2"/>
        <v>949*156.4</v>
      </c>
      <c r="D52" s="50" t="e">
        <f>'쪽쟘(실측)'!#REF!-OP차감</f>
        <v>#REF!</v>
      </c>
      <c r="E52" s="50" t="e">
        <f>'쪽쟘(실측)'!#REF!+쪽쟘J늘림+MAX(W52:X52)</f>
        <v>#REF!</v>
      </c>
      <c r="F52" s="50" t="e">
        <f>'쪽쟘(실측)'!#REF!+쪽쟘J늘림+MAX(W52:X52)</f>
        <v>#REF!</v>
      </c>
      <c r="G52" s="67" t="e">
        <f>IF(OR(쪽쟘제작!#REF!&lt;&gt;쪽쟘제작!#REF!,쪽쟘제작!#REF!&lt;&gt;쪽쟘제작!#REF!),"",AC52&amp;"*"&amp;AB52)</f>
        <v>#REF!</v>
      </c>
      <c r="H52" s="68" t="e">
        <f>IF(OR(쪽쟘제작!#REF!&lt;&gt;쪽쟘제작!#REF!,쪽쟘제작!#REF!&lt;&gt;쪽쟘제작!#REF!),"",AE52&amp;"*"&amp;AD52)</f>
        <v>#REF!</v>
      </c>
      <c r="Z52">
        <v>949</v>
      </c>
      <c r="AA52">
        <v>156.4</v>
      </c>
      <c r="AB52">
        <v>161.4</v>
      </c>
      <c r="AC52">
        <v>2090</v>
      </c>
      <c r="AD52">
        <v>163.4</v>
      </c>
      <c r="AE52">
        <v>2090</v>
      </c>
    </row>
    <row r="53" spans="1:31">
      <c r="A53" s="50" t="e">
        <f>'쪽쟘(실측)'!#REF!</f>
        <v>#REF!</v>
      </c>
      <c r="B53" s="50" t="e">
        <f>'쪽쟘(실측)'!#REF!&amp;"F"</f>
        <v>#REF!</v>
      </c>
      <c r="C53" s="50" t="str">
        <f t="shared" si="2"/>
        <v>945*155.4</v>
      </c>
      <c r="D53" s="50" t="e">
        <f>'쪽쟘(실측)'!#REF!-OP차감</f>
        <v>#REF!</v>
      </c>
      <c r="E53" s="50" t="e">
        <f>'쪽쟘(실측)'!#REF!+쪽쟘J늘림+MAX(W53:X53)</f>
        <v>#REF!</v>
      </c>
      <c r="F53" s="50" t="e">
        <f>'쪽쟘(실측)'!#REF!+쪽쟘J늘림+MAX(W53:X53)</f>
        <v>#REF!</v>
      </c>
      <c r="G53" s="67" t="e">
        <f>IF(OR(쪽쟘제작!#REF!&lt;&gt;쪽쟘제작!#REF!,쪽쟘제작!#REF!&lt;&gt;쪽쟘제작!#REF!),"",AC53&amp;"*"&amp;AB53)</f>
        <v>#REF!</v>
      </c>
      <c r="H53" s="68" t="e">
        <f>IF(OR(쪽쟘제작!#REF!&lt;&gt;쪽쟘제작!#REF!,쪽쟘제작!#REF!&lt;&gt;쪽쟘제작!#REF!),"",AE53&amp;"*"&amp;AD53)</f>
        <v>#REF!</v>
      </c>
      <c r="Z53">
        <v>945</v>
      </c>
      <c r="AA53">
        <v>155.4</v>
      </c>
      <c r="AB53">
        <v>159.4</v>
      </c>
      <c r="AC53">
        <v>2090</v>
      </c>
      <c r="AD53">
        <v>161.4</v>
      </c>
      <c r="AE53">
        <v>2090</v>
      </c>
    </row>
    <row r="54" spans="1:31">
      <c r="A54" s="50" t="e">
        <f>'쪽쟘(실측)'!#REF!</f>
        <v>#REF!</v>
      </c>
      <c r="B54" s="50" t="e">
        <f>'쪽쟘(실측)'!#REF!&amp;"F"</f>
        <v>#REF!</v>
      </c>
      <c r="C54" s="50" t="str">
        <f t="shared" si="2"/>
        <v>953*163.4</v>
      </c>
      <c r="D54" s="50" t="e">
        <f>'쪽쟘(실측)'!#REF!-OP차감</f>
        <v>#REF!</v>
      </c>
      <c r="E54" s="50" t="e">
        <f>'쪽쟘(실측)'!#REF!+쪽쟘J늘림+MAX(W54:X54)</f>
        <v>#REF!</v>
      </c>
      <c r="F54" s="50" t="e">
        <f>'쪽쟘(실측)'!#REF!+쪽쟘J늘림+MAX(W54:X54)</f>
        <v>#REF!</v>
      </c>
      <c r="G54" s="67" t="e">
        <f>IF(OR(쪽쟘제작!#REF!&lt;&gt;쪽쟘제작!#REF!,쪽쟘제작!#REF!&lt;&gt;쪽쟘제작!#REF!),"",AC54&amp;"*"&amp;AB54)</f>
        <v>#REF!</v>
      </c>
      <c r="H54" s="68" t="e">
        <f>IF(OR(쪽쟘제작!#REF!&lt;&gt;쪽쟘제작!#REF!,쪽쟘제작!#REF!&lt;&gt;쪽쟘제작!#REF!),"",AE54&amp;"*"&amp;AD54)</f>
        <v>#REF!</v>
      </c>
      <c r="Z54">
        <v>953</v>
      </c>
      <c r="AA54">
        <v>163.4</v>
      </c>
      <c r="AB54">
        <v>164.4</v>
      </c>
      <c r="AC54">
        <v>2090</v>
      </c>
      <c r="AD54">
        <v>164.4</v>
      </c>
      <c r="AE54">
        <v>2090</v>
      </c>
    </row>
    <row r="55" spans="1:31">
      <c r="A55" s="50" t="e">
        <f>'쪽쟘(실측)'!#REF!</f>
        <v>#REF!</v>
      </c>
      <c r="B55" s="50" t="e">
        <f>'쪽쟘(실측)'!#REF!&amp;"F"</f>
        <v>#REF!</v>
      </c>
      <c r="C55" s="50" t="str">
        <f t="shared" si="2"/>
        <v>941*156.4</v>
      </c>
      <c r="D55" s="50" t="e">
        <f>'쪽쟘(실측)'!#REF!-OP차감</f>
        <v>#REF!</v>
      </c>
      <c r="E55" s="50" t="e">
        <f>'쪽쟘(실측)'!#REF!+쪽쟘J늘림+MAX(W55:X55)</f>
        <v>#REF!</v>
      </c>
      <c r="F55" s="50" t="e">
        <f>'쪽쟘(실측)'!#REF!+쪽쟘J늘림+MAX(W55:X55)</f>
        <v>#REF!</v>
      </c>
      <c r="G55" s="67" t="e">
        <f>IF(OR(쪽쟘제작!#REF!&lt;&gt;쪽쟘제작!#REF!,쪽쟘제작!#REF!&lt;&gt;쪽쟘제작!#REF!),"",AC55&amp;"*"&amp;AB55)</f>
        <v>#REF!</v>
      </c>
      <c r="H55" s="68" t="e">
        <f>IF(OR(쪽쟘제작!#REF!&lt;&gt;쪽쟘제작!#REF!,쪽쟘제작!#REF!&lt;&gt;쪽쟘제작!#REF!),"",AE55&amp;"*"&amp;AD55)</f>
        <v>#REF!</v>
      </c>
      <c r="Z55">
        <v>941</v>
      </c>
      <c r="AA55">
        <v>156.4</v>
      </c>
      <c r="AB55">
        <v>154.4</v>
      </c>
      <c r="AC55">
        <v>2090</v>
      </c>
      <c r="AD55">
        <v>163.4</v>
      </c>
      <c r="AE55">
        <v>2090</v>
      </c>
    </row>
    <row r="56" spans="1:31">
      <c r="A56" s="50" t="e">
        <f>'쪽쟘(실측)'!#REF!</f>
        <v>#REF!</v>
      </c>
      <c r="B56" s="50" t="e">
        <f>'쪽쟘(실측)'!#REF!&amp;"F"</f>
        <v>#REF!</v>
      </c>
      <c r="C56" s="50" t="str">
        <f t="shared" si="2"/>
        <v>945*168.4</v>
      </c>
      <c r="D56" s="50" t="e">
        <f>'쪽쟘(실측)'!#REF!-OP차감</f>
        <v>#REF!</v>
      </c>
      <c r="E56" s="50" t="e">
        <f>'쪽쟘(실측)'!#REF!+쪽쟘J늘림+MAX(W56:X56)</f>
        <v>#REF!</v>
      </c>
      <c r="F56" s="50" t="e">
        <f>'쪽쟘(실측)'!#REF!+쪽쟘J늘림+MAX(W56:X56)</f>
        <v>#REF!</v>
      </c>
      <c r="G56" s="67" t="e">
        <f>IF(OR(쪽쟘제작!#REF!&lt;&gt;쪽쟘제작!#REF!,쪽쟘제작!#REF!&lt;&gt;쪽쟘제작!#REF!),"",AC56&amp;"*"&amp;AB56)</f>
        <v>#REF!</v>
      </c>
      <c r="H56" s="68" t="e">
        <f>IF(OR(쪽쟘제작!#REF!&lt;&gt;쪽쟘제작!#REF!,쪽쟘제작!#REF!&lt;&gt;쪽쟘제작!#REF!),"",AE56&amp;"*"&amp;AD56)</f>
        <v>#REF!</v>
      </c>
      <c r="Z56">
        <v>945</v>
      </c>
      <c r="AA56">
        <v>168.4</v>
      </c>
      <c r="AB56">
        <v>164.4</v>
      </c>
      <c r="AC56">
        <v>2093</v>
      </c>
      <c r="AD56">
        <v>164.4</v>
      </c>
      <c r="AE56">
        <v>2090</v>
      </c>
    </row>
    <row r="57" spans="1:31">
      <c r="A57" s="50" t="e">
        <f>'쪽쟘(실측)'!#REF!</f>
        <v>#REF!</v>
      </c>
      <c r="B57" s="50" t="e">
        <f>'쪽쟘(실측)'!#REF!&amp;"F"</f>
        <v>#REF!</v>
      </c>
      <c r="C57" s="50" t="str">
        <f t="shared" ref="C57:C58" si="3">Z57&amp;"*"&amp;AA57</f>
        <v>948*165.4</v>
      </c>
      <c r="D57" s="50" t="e">
        <f>'쪽쟘(실측)'!#REF!-OP차감</f>
        <v>#REF!</v>
      </c>
      <c r="E57" s="50" t="e">
        <f>'쪽쟘(실측)'!#REF!+쪽쟘J늘림+MAX(W57:X57)</f>
        <v>#REF!</v>
      </c>
      <c r="F57" s="50" t="e">
        <f>'쪽쟘(실측)'!#REF!+쪽쟘J늘림+MAX(W57:X57)</f>
        <v>#REF!</v>
      </c>
      <c r="G57" s="67" t="e">
        <f>IF(OR(쪽쟘제작!#REF!&lt;&gt;쪽쟘제작!#REF!,쪽쟘제작!#REF!&lt;&gt;쪽쟘제작!#REF!),"",AC57&amp;"*"&amp;AB57)</f>
        <v>#REF!</v>
      </c>
      <c r="H57" s="68" t="e">
        <f>IF(OR(쪽쟘제작!#REF!&lt;&gt;쪽쟘제작!#REF!,쪽쟘제작!#REF!&lt;&gt;쪽쟘제작!#REF!),"",AE57&amp;"*"&amp;AD57)</f>
        <v>#REF!</v>
      </c>
      <c r="Z57">
        <v>948</v>
      </c>
      <c r="AA57">
        <v>165.4</v>
      </c>
      <c r="AB57">
        <v>161.4</v>
      </c>
      <c r="AC57">
        <v>2093</v>
      </c>
      <c r="AD57">
        <v>162.4</v>
      </c>
      <c r="AE57">
        <v>2090</v>
      </c>
    </row>
    <row r="58" spans="1:31" ht="17.25" thickBot="1">
      <c r="A58" s="164" t="e">
        <f>'쪽쟘(실측)'!#REF!</f>
        <v>#REF!</v>
      </c>
      <c r="B58" s="164" t="e">
        <f>'쪽쟘(실측)'!#REF!&amp;"F"</f>
        <v>#REF!</v>
      </c>
      <c r="C58" s="164" t="str">
        <f t="shared" si="3"/>
        <v>948*158.4</v>
      </c>
      <c r="D58" s="164" t="e">
        <f>'쪽쟘(실측)'!#REF!-OP차감</f>
        <v>#REF!</v>
      </c>
      <c r="E58" s="164" t="e">
        <f>'쪽쟘(실측)'!#REF!+쪽쟘J늘림+MAX(W58:X58)</f>
        <v>#REF!</v>
      </c>
      <c r="F58" s="164" t="e">
        <f>'쪽쟘(실측)'!#REF!+쪽쟘J늘림+MAX(W58:X58)</f>
        <v>#REF!</v>
      </c>
      <c r="G58" s="165" t="e">
        <f>IF(OR(쪽쟘제작!#REF!&lt;&gt;쪽쟘제작!#REF!,쪽쟘제작!#REF!&lt;&gt;쪽쟘제작!#REF!),"",AC58&amp;"*"&amp;AB58)</f>
        <v>#REF!</v>
      </c>
      <c r="H58" s="166" t="e">
        <f>IF(OR(쪽쟘제작!#REF!&lt;&gt;쪽쟘제작!#REF!,쪽쟘제작!#REF!&lt;&gt;쪽쟘제작!#REF!),"",AE58&amp;"*"&amp;AD58)</f>
        <v>#REF!</v>
      </c>
      <c r="Z58">
        <v>948</v>
      </c>
      <c r="AA58">
        <v>158.4</v>
      </c>
      <c r="AB58">
        <v>160.4</v>
      </c>
      <c r="AC58">
        <v>2088</v>
      </c>
      <c r="AD58">
        <v>163.4</v>
      </c>
      <c r="AE58">
        <v>2088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>
      <c r="A1" s="175" t="str">
        <f>정보!E2</f>
        <v>(SO와이드) 실측서 ( 경기도 부천 은하마을 주공1단지아파트-3차 ) _김운호소장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>
      <c r="A3" s="2" t="str">
        <f>"현장명 : " &amp; 정보!B1 &amp; ",   (재질) : " &amp; 정보!B7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83" t="s">
        <v>98</v>
      </c>
      <c r="N3" s="18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>
      <c r="A4" s="312" t="str">
        <f>정보!B10</f>
        <v>제작치수 반영 : MH + (2), JB/JD +(3 ),  늘어난치수K -(3),  C + (0),   U + (0), OP - (2), R - (0),  기둥차감 - (0), A + (1)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82" t="s">
        <v>215</v>
      </c>
      <c r="AH4" s="182"/>
      <c r="AI4" s="75"/>
      <c r="AJ4" s="9"/>
      <c r="AK4" s="9"/>
      <c r="AL4" s="9"/>
    </row>
    <row r="5" spans="1:47" ht="25.9" customHeight="1">
      <c r="A5" s="176" t="s">
        <v>0</v>
      </c>
      <c r="B5" s="176" t="s">
        <v>1</v>
      </c>
      <c r="C5" s="176" t="s">
        <v>2</v>
      </c>
      <c r="D5" s="176" t="s">
        <v>24</v>
      </c>
      <c r="E5" s="176" t="s">
        <v>236</v>
      </c>
      <c r="F5" s="176" t="s">
        <v>239</v>
      </c>
      <c r="G5" s="176" t="s">
        <v>18</v>
      </c>
      <c r="H5" s="176" t="s">
        <v>4</v>
      </c>
      <c r="I5" s="176" t="s">
        <v>5</v>
      </c>
      <c r="J5" s="176" t="s">
        <v>6</v>
      </c>
      <c r="K5" s="176" t="s">
        <v>7</v>
      </c>
      <c r="L5" s="176" t="s">
        <v>8</v>
      </c>
      <c r="M5" s="176" t="s">
        <v>9</v>
      </c>
      <c r="N5" s="176" t="s">
        <v>12</v>
      </c>
      <c r="O5" s="176" t="s">
        <v>13</v>
      </c>
      <c r="P5" s="176" t="s">
        <v>10</v>
      </c>
      <c r="Q5" s="176" t="s">
        <v>11</v>
      </c>
      <c r="R5" s="176" t="s">
        <v>14</v>
      </c>
      <c r="S5" s="176" t="s">
        <v>15</v>
      </c>
      <c r="T5" s="176" t="s">
        <v>16</v>
      </c>
      <c r="U5" s="176" t="s">
        <v>17</v>
      </c>
      <c r="V5" s="176" t="s">
        <v>19</v>
      </c>
      <c r="W5" s="177" t="s">
        <v>48</v>
      </c>
      <c r="X5" s="177" t="s">
        <v>22</v>
      </c>
      <c r="Y5" s="313" t="s">
        <v>237</v>
      </c>
      <c r="Z5" s="314" t="s">
        <v>243</v>
      </c>
      <c r="AA5" s="176" t="s">
        <v>21</v>
      </c>
      <c r="AB5" s="176"/>
      <c r="AC5" s="176"/>
      <c r="AD5" s="176"/>
      <c r="AE5" s="178" t="s">
        <v>91</v>
      </c>
      <c r="AF5" s="178" t="s">
        <v>92</v>
      </c>
      <c r="AG5" s="180" t="s">
        <v>212</v>
      </c>
      <c r="AH5" s="181"/>
      <c r="AI5" s="177" t="s">
        <v>199</v>
      </c>
      <c r="AJ5" s="177" t="s">
        <v>203</v>
      </c>
      <c r="AK5" s="177"/>
      <c r="AL5" s="177"/>
    </row>
    <row r="6" spans="1:47" ht="44.25" customHeight="1">
      <c r="A6" s="176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7"/>
      <c r="Y6" s="313"/>
      <c r="Z6" s="314"/>
      <c r="AA6" s="8" t="s">
        <v>43</v>
      </c>
      <c r="AB6" s="8" t="s">
        <v>44</v>
      </c>
      <c r="AC6" s="8" t="s">
        <v>45</v>
      </c>
      <c r="AD6" s="8" t="s">
        <v>46</v>
      </c>
      <c r="AE6" s="179"/>
      <c r="AF6" s="179"/>
      <c r="AG6" s="74" t="s">
        <v>213</v>
      </c>
      <c r="AH6" s="74" t="s">
        <v>214</v>
      </c>
      <c r="AI6" s="176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326" t="str">
        <f>정보!F2</f>
        <v>(SO와이드) 제작변환 ( 경기도 부천 은하마을 주공1단지아파트-3차 ) _김운호소장</v>
      </c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  <c r="U1" s="326"/>
      <c r="V1" s="326"/>
      <c r="W1" s="326"/>
      <c r="X1" s="326"/>
      <c r="Y1" s="326"/>
      <c r="Z1" s="326"/>
      <c r="AA1" s="326"/>
      <c r="AB1" s="326"/>
      <c r="AC1" s="326"/>
      <c r="AD1" s="326"/>
      <c r="AE1" s="326"/>
      <c r="AF1" s="326"/>
      <c r="AG1" s="326"/>
      <c r="AH1" s="326"/>
      <c r="AI1" s="326"/>
      <c r="AJ1" s="326"/>
      <c r="AK1" s="326"/>
      <c r="AL1" s="326"/>
      <c r="AM1" s="326"/>
      <c r="AN1" s="326"/>
      <c r="AO1" s="326"/>
      <c r="AP1" s="326"/>
      <c r="AQ1" s="326"/>
      <c r="AR1" s="326"/>
      <c r="AS1" s="326"/>
      <c r="AT1" s="326"/>
      <c r="AU1" s="326"/>
      <c r="AV1" s="326"/>
      <c r="AW1" s="37"/>
      <c r="AX1" s="37"/>
    </row>
    <row r="2" spans="1:66" ht="29.25" customHeight="1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26" t="s">
        <v>113</v>
      </c>
      <c r="K2" s="227"/>
      <c r="L2" s="227"/>
      <c r="M2" s="227"/>
      <c r="N2" s="227"/>
      <c r="O2" s="227"/>
      <c r="P2" s="228">
        <v>1</v>
      </c>
      <c r="Q2" s="228"/>
      <c r="R2" s="198" t="s">
        <v>89</v>
      </c>
      <c r="S2" s="199"/>
      <c r="T2" s="200">
        <v>0</v>
      </c>
      <c r="U2" s="200"/>
      <c r="V2" s="176" t="s">
        <v>83</v>
      </c>
      <c r="W2" s="202"/>
      <c r="X2" s="202"/>
      <c r="Y2" s="203">
        <v>0</v>
      </c>
      <c r="Z2" s="203"/>
      <c r="AA2" s="331" t="str">
        <f>정보!B5</f>
        <v>OTIS HIX-A201 돌출형</v>
      </c>
      <c r="AB2" s="332"/>
      <c r="AC2" s="332"/>
      <c r="AD2" s="332"/>
      <c r="AE2" s="332"/>
      <c r="AF2" s="332"/>
      <c r="AG2" s="332"/>
      <c r="AH2" s="332"/>
      <c r="AI2" s="332"/>
      <c r="AJ2" s="332"/>
      <c r="AK2" s="333"/>
      <c r="AL2" s="198" t="s">
        <v>90</v>
      </c>
      <c r="AM2" s="199"/>
      <c r="AN2" s="327">
        <v>3</v>
      </c>
      <c r="AO2" s="327"/>
      <c r="AP2" s="1"/>
      <c r="AQ2" s="328" t="s">
        <v>229</v>
      </c>
      <c r="AR2" s="329"/>
      <c r="AS2" s="330">
        <v>0</v>
      </c>
      <c r="AT2" s="330"/>
      <c r="AU2" s="1"/>
      <c r="AV2" s="1"/>
    </row>
    <row r="3" spans="1:66" ht="24.75" customHeight="1">
      <c r="A3" s="28" t="str">
        <f>'SO와이드(실측)'!A3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2"/>
      <c r="J3" s="198" t="s">
        <v>228</v>
      </c>
      <c r="K3" s="198"/>
      <c r="L3" s="198"/>
      <c r="M3" s="198"/>
      <c r="N3" s="198"/>
      <c r="O3" s="198"/>
      <c r="P3" s="229">
        <v>3</v>
      </c>
      <c r="Q3" s="229"/>
      <c r="R3" s="199" t="s">
        <v>77</v>
      </c>
      <c r="S3" s="199"/>
      <c r="T3" s="206">
        <v>0</v>
      </c>
      <c r="U3" s="206"/>
      <c r="V3" s="207" t="s">
        <v>227</v>
      </c>
      <c r="W3" s="207"/>
      <c r="X3" s="207"/>
      <c r="Y3" s="208">
        <f>BN7</f>
        <v>1</v>
      </c>
      <c r="Z3" s="208"/>
      <c r="AA3" s="324" t="s">
        <v>78</v>
      </c>
      <c r="AB3" s="324"/>
      <c r="AC3" s="334">
        <v>1</v>
      </c>
      <c r="AD3" s="334"/>
      <c r="AL3" s="176" t="s">
        <v>73</v>
      </c>
      <c r="AM3" s="176"/>
      <c r="AN3" s="110">
        <v>5</v>
      </c>
      <c r="AO3" s="103" t="s">
        <v>74</v>
      </c>
      <c r="AP3" s="111">
        <v>4</v>
      </c>
      <c r="AQ3" s="234" t="s">
        <v>230</v>
      </c>
      <c r="AR3" s="234"/>
      <c r="AS3" s="236" t="s">
        <v>327</v>
      </c>
      <c r="AT3" s="237"/>
      <c r="AU3" s="240" t="e">
        <f>AY7</f>
        <v>#DIV/0!</v>
      </c>
      <c r="AV3" s="241"/>
      <c r="BN3" s="186" t="s">
        <v>253</v>
      </c>
    </row>
    <row r="4" spans="1:66" ht="33" customHeight="1">
      <c r="A4" s="172" t="str">
        <f>정보!B10</f>
        <v>제작치수 반영 : MH + (2), JB/JD +(3 ),  늘어난치수K -(3),  C + (0),   U + (0), OP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25" t="s">
        <v>313</v>
      </c>
      <c r="AH4" s="325"/>
      <c r="AI4" s="284">
        <f>'SO와이드(실측)'!AA7</f>
        <v>0</v>
      </c>
      <c r="AJ4" s="284"/>
      <c r="AK4" s="231">
        <f ca="1">TODAY()</f>
        <v>45272</v>
      </c>
      <c r="AL4" s="171"/>
      <c r="AM4" s="171"/>
      <c r="AN4" s="9"/>
      <c r="AO4" s="319" t="s">
        <v>117</v>
      </c>
      <c r="AP4" s="319"/>
      <c r="AQ4" s="182" t="s">
        <v>215</v>
      </c>
      <c r="AR4" s="182"/>
      <c r="AS4" s="84"/>
      <c r="AT4" s="238" t="s">
        <v>235</v>
      </c>
      <c r="AU4" s="238"/>
      <c r="AV4" s="239"/>
      <c r="BN4" s="187"/>
    </row>
    <row r="5" spans="1:66" ht="25.9" customHeight="1">
      <c r="A5" s="176" t="s">
        <v>0</v>
      </c>
      <c r="B5" s="176" t="s">
        <v>1</v>
      </c>
      <c r="C5" s="176" t="s">
        <v>2</v>
      </c>
      <c r="D5" s="176" t="s">
        <v>2</v>
      </c>
      <c r="E5" s="176" t="s">
        <v>236</v>
      </c>
      <c r="F5" s="176" t="s">
        <v>246</v>
      </c>
      <c r="G5" s="176" t="s">
        <v>18</v>
      </c>
      <c r="H5" s="215" t="s">
        <v>4</v>
      </c>
      <c r="I5" s="279" t="s">
        <v>42</v>
      </c>
      <c r="J5" s="212" t="s">
        <v>105</v>
      </c>
      <c r="K5" s="212" t="s">
        <v>106</v>
      </c>
      <c r="L5" s="216" t="s">
        <v>107</v>
      </c>
      <c r="M5" s="216" t="s">
        <v>108</v>
      </c>
      <c r="N5" s="320" t="s">
        <v>240</v>
      </c>
      <c r="O5" s="322" t="s">
        <v>241</v>
      </c>
      <c r="P5" s="218" t="s">
        <v>71</v>
      </c>
      <c r="Q5" s="218" t="s">
        <v>72</v>
      </c>
      <c r="R5" s="176" t="s">
        <v>8</v>
      </c>
      <c r="S5" s="176" t="s">
        <v>9</v>
      </c>
      <c r="T5" s="176" t="s">
        <v>12</v>
      </c>
      <c r="U5" s="176" t="s">
        <v>13</v>
      </c>
      <c r="V5" s="176" t="s">
        <v>10</v>
      </c>
      <c r="W5" s="176" t="s">
        <v>11</v>
      </c>
      <c r="X5" s="214" t="s">
        <v>14</v>
      </c>
      <c r="Y5" s="214" t="s">
        <v>15</v>
      </c>
      <c r="Z5" s="215" t="s">
        <v>16</v>
      </c>
      <c r="AA5" s="215" t="s">
        <v>17</v>
      </c>
      <c r="AB5" s="176" t="s">
        <v>19</v>
      </c>
      <c r="AC5" s="176" t="s">
        <v>20</v>
      </c>
      <c r="AD5" s="177" t="s">
        <v>22</v>
      </c>
      <c r="AE5" s="313" t="s">
        <v>242</v>
      </c>
      <c r="AF5" s="314" t="s">
        <v>238</v>
      </c>
      <c r="AG5" s="204" t="s">
        <v>79</v>
      </c>
      <c r="AH5" s="205"/>
      <c r="AI5" s="205"/>
      <c r="AJ5" s="205"/>
      <c r="AK5" s="196" t="s">
        <v>91</v>
      </c>
      <c r="AL5" s="196" t="s">
        <v>92</v>
      </c>
      <c r="AM5" s="188" t="s">
        <v>99</v>
      </c>
      <c r="AN5" s="177" t="s">
        <v>61</v>
      </c>
      <c r="AO5" s="177" t="s">
        <v>34</v>
      </c>
      <c r="AP5" s="177" t="s">
        <v>35</v>
      </c>
      <c r="AQ5" s="180" t="s">
        <v>212</v>
      </c>
      <c r="AR5" s="181"/>
      <c r="AS5" s="317" t="s">
        <v>199</v>
      </c>
      <c r="AT5" s="317" t="s">
        <v>204</v>
      </c>
      <c r="AU5" s="317"/>
      <c r="AV5" s="317"/>
      <c r="AW5" s="186" t="s">
        <v>100</v>
      </c>
      <c r="AX5" s="186" t="s">
        <v>101</v>
      </c>
      <c r="AY5" s="316" t="s">
        <v>244</v>
      </c>
      <c r="AZ5" s="315" t="s">
        <v>245</v>
      </c>
      <c r="BA5" s="191" t="s">
        <v>84</v>
      </c>
      <c r="BB5" s="194" t="s">
        <v>102</v>
      </c>
      <c r="BC5" s="193" t="s">
        <v>94</v>
      </c>
      <c r="BD5" s="193" t="s">
        <v>95</v>
      </c>
      <c r="BE5" s="186" t="s">
        <v>93</v>
      </c>
      <c r="BH5" s="190" t="s">
        <v>28</v>
      </c>
      <c r="BI5" s="190"/>
      <c r="BJ5" s="190" t="s">
        <v>29</v>
      </c>
      <c r="BK5" s="190"/>
      <c r="BL5" s="6" t="s">
        <v>50</v>
      </c>
      <c r="BM5" s="243" t="s">
        <v>104</v>
      </c>
      <c r="BN5" s="242" t="s">
        <v>226</v>
      </c>
    </row>
    <row r="6" spans="1:66" ht="48" customHeight="1">
      <c r="A6" s="176"/>
      <c r="B6" s="176"/>
      <c r="C6" s="176"/>
      <c r="D6" s="176"/>
      <c r="E6" s="176"/>
      <c r="F6" s="176"/>
      <c r="G6" s="176"/>
      <c r="H6" s="215"/>
      <c r="I6" s="279"/>
      <c r="J6" s="213"/>
      <c r="K6" s="213"/>
      <c r="L6" s="217"/>
      <c r="M6" s="217"/>
      <c r="N6" s="321"/>
      <c r="O6" s="323"/>
      <c r="P6" s="219"/>
      <c r="Q6" s="219"/>
      <c r="R6" s="176"/>
      <c r="S6" s="176"/>
      <c r="T6" s="176"/>
      <c r="U6" s="176"/>
      <c r="V6" s="176"/>
      <c r="W6" s="176"/>
      <c r="X6" s="214"/>
      <c r="Y6" s="214"/>
      <c r="Z6" s="215"/>
      <c r="AA6" s="215"/>
      <c r="AB6" s="176"/>
      <c r="AC6" s="176"/>
      <c r="AD6" s="177"/>
      <c r="AE6" s="313"/>
      <c r="AF6" s="314"/>
      <c r="AG6" s="8" t="s">
        <v>52</v>
      </c>
      <c r="AH6" s="8" t="s">
        <v>68</v>
      </c>
      <c r="AI6" s="8" t="s">
        <v>69</v>
      </c>
      <c r="AJ6" s="8" t="s">
        <v>70</v>
      </c>
      <c r="AK6" s="197"/>
      <c r="AL6" s="197"/>
      <c r="AM6" s="189"/>
      <c r="AN6" s="177"/>
      <c r="AO6" s="176"/>
      <c r="AP6" s="176"/>
      <c r="AQ6" s="74" t="s">
        <v>213</v>
      </c>
      <c r="AR6" s="74" t="s">
        <v>214</v>
      </c>
      <c r="AS6" s="318"/>
      <c r="AT6" s="86" t="s">
        <v>200</v>
      </c>
      <c r="AU6" s="86" t="s">
        <v>201</v>
      </c>
      <c r="AV6" s="86" t="s">
        <v>80</v>
      </c>
      <c r="AW6" s="187"/>
      <c r="AX6" s="187"/>
      <c r="AY6" s="315"/>
      <c r="AZ6" s="315"/>
      <c r="BA6" s="192"/>
      <c r="BB6" s="195"/>
      <c r="BC6" s="193"/>
      <c r="BD6" s="193"/>
      <c r="BE6" s="187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43"/>
      <c r="BN6" s="242"/>
    </row>
    <row r="7" spans="1:66" ht="25.5" customHeight="1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-2</v>
      </c>
      <c r="F7" s="31">
        <f>'SO와이드(실측)'!F7-SO와이드OP</f>
        <v>-2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-3</v>
      </c>
      <c r="AH7" s="31">
        <f>IF(SO와이드JB하부늘치=1,AG7,'SO와이드(실측)'!AB7-SO와이드늘치)</f>
        <v>-3</v>
      </c>
      <c r="AI7" s="31">
        <f>'SO와이드(실측)'!AC7-SO와이드늘치</f>
        <v>-3</v>
      </c>
      <c r="AJ7" s="31">
        <f>IF(SO와이드JB하부늘치=1,AI7,'SO와이드(실측)'!AD7-SO와이드늘치)</f>
        <v>-3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0*-1.6</v>
      </c>
      <c r="AO7" s="31" t="str">
        <f t="shared" ref="AO7" si="2">BI7&amp;"*"&amp;BH7</f>
        <v>0.8*-2.4</v>
      </c>
      <c r="AP7" s="31" t="str">
        <f t="shared" ref="AP7" si="3">BK7&amp;"*"&amp;BJ7</f>
        <v>0.8*-2.4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-1.5999999999999999</v>
      </c>
      <c r="BH7" s="41">
        <f>V7+R7+MAX(J7,K7)+AE7-1.2*$AP$3+IF(BN7=0,MAX(AH7,AG7),0)+IF(V7=0,1.2,0)-IF(AV7=90,2.4,0)</f>
        <v>-2.3999999999999995</v>
      </c>
      <c r="BI7" s="41">
        <f>MAX(X7,Y7)+AK7</f>
        <v>0.8</v>
      </c>
      <c r="BJ7" s="41">
        <f>W7+S7+MAX(L7,M7)+AF7-1.2*$AP$3+IF(BN7=0,MAX(AI7,AJ7),0)+IF(W7=0,1.2,0)-IF(AV7=90,2.4,0)</f>
        <v>-2.3999999999999995</v>
      </c>
      <c r="BK7" s="41">
        <f>MAX(Z7,AA7)+AL7</f>
        <v>0.8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>
      <c r="A1" s="174" t="str">
        <f>정보!E3</f>
        <v>(SO멍텅구리) 실측서 ( 경기도 부천 은하마을 주공1단지아파트-3차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>
      <c r="A3" s="5" t="str">
        <f>"현장명 : " &amp; 정보!B1 &amp; ",   (재질) : " &amp; 정보!B8</f>
        <v>현장명 : 경기도 부천 은하마을 주공1단지아파트-3차,   (재질) : HL 1.2T</v>
      </c>
      <c r="B3" s="2"/>
      <c r="C3" s="2"/>
      <c r="D3" s="2"/>
      <c r="E3" s="2"/>
      <c r="F3" s="2"/>
      <c r="G3" s="2"/>
      <c r="H3" s="248"/>
      <c r="I3" s="248"/>
      <c r="J3" s="255"/>
      <c r="K3" s="255"/>
      <c r="L3" s="256"/>
      <c r="M3" s="256"/>
      <c r="N3" s="257"/>
      <c r="O3" s="257"/>
      <c r="P3" s="257"/>
      <c r="Q3" s="252" t="s">
        <v>97</v>
      </c>
      <c r="R3" s="252"/>
      <c r="S3" s="253"/>
      <c r="T3" s="253"/>
      <c r="U3" s="254"/>
      <c r="V3" s="254"/>
      <c r="W3" s="254"/>
    </row>
    <row r="4" spans="1:41" ht="33" customHeight="1">
      <c r="A4" s="172" t="str">
        <f>정보!B14</f>
        <v>제작치수 반영 : JB/JD +(3 ),  늘어난치수K -(3),  C + (0),  U +(0), OP1/OP2 -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82" t="s">
        <v>215</v>
      </c>
      <c r="AE4" s="182"/>
      <c r="AF4" s="81" t="s">
        <v>234</v>
      </c>
    </row>
    <row r="5" spans="1:41" ht="25.9" customHeight="1">
      <c r="A5" s="176" t="s">
        <v>0</v>
      </c>
      <c r="B5" s="176" t="s">
        <v>1</v>
      </c>
      <c r="C5" s="176" t="s">
        <v>248</v>
      </c>
      <c r="D5" s="176" t="s">
        <v>247</v>
      </c>
      <c r="E5" s="176" t="s">
        <v>18</v>
      </c>
      <c r="F5" s="176" t="s">
        <v>4</v>
      </c>
      <c r="G5" s="176" t="s">
        <v>5</v>
      </c>
      <c r="H5" s="176" t="s">
        <v>6</v>
      </c>
      <c r="I5" s="176" t="s">
        <v>7</v>
      </c>
      <c r="J5" s="176" t="s">
        <v>8</v>
      </c>
      <c r="K5" s="176" t="s">
        <v>9</v>
      </c>
      <c r="L5" s="176" t="s">
        <v>10</v>
      </c>
      <c r="M5" s="176" t="s">
        <v>11</v>
      </c>
      <c r="N5" s="176" t="s">
        <v>14</v>
      </c>
      <c r="O5" s="176" t="s">
        <v>15</v>
      </c>
      <c r="P5" s="176" t="s">
        <v>16</v>
      </c>
      <c r="Q5" s="176" t="s">
        <v>17</v>
      </c>
      <c r="R5" s="176" t="s">
        <v>19</v>
      </c>
      <c r="S5" s="176" t="s">
        <v>20</v>
      </c>
      <c r="T5" s="246" t="s">
        <v>22</v>
      </c>
      <c r="U5" s="313" t="s">
        <v>242</v>
      </c>
      <c r="V5" s="314" t="s">
        <v>238</v>
      </c>
      <c r="W5" s="249" t="s">
        <v>21</v>
      </c>
      <c r="X5" s="250"/>
      <c r="Y5" s="250"/>
      <c r="Z5" s="251"/>
      <c r="AA5" s="177" t="s">
        <v>203</v>
      </c>
      <c r="AB5" s="177"/>
      <c r="AC5" s="177"/>
      <c r="AD5" s="180" t="s">
        <v>212</v>
      </c>
      <c r="AE5" s="181"/>
      <c r="AF5" s="80" t="s">
        <v>231</v>
      </c>
    </row>
    <row r="6" spans="1:41" ht="47.25" customHeight="1">
      <c r="A6" s="176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247"/>
      <c r="U6" s="313"/>
      <c r="V6" s="31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74" t="str">
        <f>정보!F3</f>
        <v>(SO멍텅구리) 제작변환 ( 경기도 부천 은하마을 주공1단지아파트-3차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58" t="s">
        <v>75</v>
      </c>
      <c r="AP1" s="258"/>
      <c r="AQ1" s="258"/>
      <c r="AW1" s="24"/>
    </row>
    <row r="2" spans="1:58" ht="28.5" customHeight="1">
      <c r="A2" s="97" t="s">
        <v>85</v>
      </c>
      <c r="B2" s="140">
        <v>2</v>
      </c>
      <c r="C2" s="349" t="s">
        <v>290</v>
      </c>
      <c r="D2" s="349"/>
      <c r="E2" s="116">
        <v>0</v>
      </c>
      <c r="F2" s="1"/>
      <c r="G2" s="1"/>
      <c r="H2" s="222" t="s">
        <v>81</v>
      </c>
      <c r="I2" s="222"/>
      <c r="J2" s="222"/>
      <c r="K2" s="344">
        <v>0</v>
      </c>
      <c r="L2" s="344"/>
      <c r="M2" s="344"/>
      <c r="N2" s="344"/>
      <c r="O2" s="227" t="s">
        <v>113</v>
      </c>
      <c r="P2" s="227"/>
      <c r="Q2" s="227"/>
      <c r="R2" s="227"/>
      <c r="S2" s="345">
        <v>1</v>
      </c>
      <c r="T2" s="345"/>
      <c r="U2" s="199" t="s">
        <v>103</v>
      </c>
      <c r="V2" s="199"/>
      <c r="W2" s="143">
        <v>0</v>
      </c>
      <c r="X2" s="227" t="s">
        <v>88</v>
      </c>
      <c r="Y2" s="227"/>
      <c r="Z2" s="346">
        <v>0</v>
      </c>
      <c r="AA2" s="346"/>
      <c r="AB2" s="22"/>
      <c r="AC2" s="198" t="s">
        <v>82</v>
      </c>
      <c r="AD2" s="199"/>
      <c r="AE2" s="347">
        <v>0</v>
      </c>
      <c r="AF2" s="347"/>
      <c r="AG2" s="142" t="s">
        <v>90</v>
      </c>
      <c r="AH2" s="348">
        <v>3</v>
      </c>
      <c r="AI2" s="348"/>
      <c r="AJ2" s="141"/>
      <c r="AK2" s="141"/>
      <c r="AL2" s="141"/>
      <c r="AM2" s="1"/>
      <c r="AN2" s="1"/>
      <c r="AO2" s="258"/>
      <c r="AP2" s="258"/>
      <c r="AQ2" s="258"/>
      <c r="AW2" s="24"/>
    </row>
    <row r="3" spans="1:58" ht="33" customHeight="1">
      <c r="A3" s="33" t="str">
        <f>'SO멍텅(실측)'!A3</f>
        <v>현장명 : 경기도 부천 은하마을 주공1단지아파트-3차,   (재질) : HL 1.2T</v>
      </c>
      <c r="B3" s="2"/>
      <c r="C3" s="2"/>
      <c r="D3" s="2"/>
      <c r="E3" s="2"/>
      <c r="F3" s="2"/>
      <c r="G3" s="2"/>
      <c r="H3" s="155"/>
      <c r="I3" s="199" t="s">
        <v>76</v>
      </c>
      <c r="J3" s="199"/>
      <c r="K3" s="229">
        <v>3</v>
      </c>
      <c r="L3" s="229"/>
      <c r="M3" s="229"/>
      <c r="N3" s="229"/>
      <c r="O3" s="199" t="s">
        <v>77</v>
      </c>
      <c r="P3" s="199"/>
      <c r="Q3" s="206">
        <v>0</v>
      </c>
      <c r="R3" s="206"/>
      <c r="S3" s="227" t="s">
        <v>227</v>
      </c>
      <c r="T3" s="227"/>
      <c r="U3" s="227"/>
      <c r="V3" s="339">
        <f>BE7</f>
        <v>1</v>
      </c>
      <c r="W3" s="339"/>
      <c r="X3" s="227" t="s">
        <v>78</v>
      </c>
      <c r="Y3" s="227"/>
      <c r="Z3" s="343">
        <v>1</v>
      </c>
      <c r="AA3" s="343"/>
      <c r="AB3" s="64"/>
      <c r="AC3" s="156"/>
      <c r="AD3" s="156"/>
      <c r="AE3" s="337" t="s">
        <v>73</v>
      </c>
      <c r="AF3" s="337"/>
      <c r="AG3" s="157">
        <v>4</v>
      </c>
      <c r="AH3" s="142" t="s">
        <v>74</v>
      </c>
      <c r="AI3" s="157">
        <v>4</v>
      </c>
      <c r="AJ3" s="289" t="s">
        <v>328</v>
      </c>
      <c r="AK3" s="290"/>
      <c r="AL3" s="221"/>
      <c r="AM3" s="342" t="e">
        <f>AR7</f>
        <v>#DIV/0!</v>
      </c>
      <c r="AN3" s="171"/>
      <c r="AO3" s="25"/>
      <c r="AP3" s="25"/>
      <c r="AQ3" s="24"/>
      <c r="AW3" s="24"/>
    </row>
    <row r="4" spans="1:58" ht="33" customHeight="1">
      <c r="A4" s="172" t="str">
        <f>'SO멍텅(실측)'!A4:AA4</f>
        <v>제작치수 반영 : JB/JD +(3 ),  늘어난치수K -(3),  C + (0),  U +(0), OP1/OP2 -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40" t="s">
        <v>314</v>
      </c>
      <c r="AD4" s="340"/>
      <c r="AE4" s="341">
        <f>'SO멍텅(실측)'!W7</f>
        <v>0</v>
      </c>
      <c r="AF4" s="341"/>
      <c r="AG4" s="158"/>
      <c r="AH4" s="338">
        <f ca="1">TODAY()</f>
        <v>45272</v>
      </c>
      <c r="AI4" s="238"/>
      <c r="AJ4" s="238" t="s">
        <v>235</v>
      </c>
      <c r="AK4" s="238"/>
      <c r="AL4" s="239"/>
      <c r="AM4" s="182" t="s">
        <v>215</v>
      </c>
      <c r="AN4" s="182"/>
      <c r="AO4" s="25"/>
      <c r="AP4" s="25"/>
      <c r="AQ4" s="24"/>
      <c r="AW4" s="24"/>
      <c r="BE4" s="186" t="s">
        <v>253</v>
      </c>
    </row>
    <row r="5" spans="1:58" ht="25.9" customHeight="1">
      <c r="A5" s="176" t="s">
        <v>0</v>
      </c>
      <c r="B5" s="176" t="s">
        <v>1</v>
      </c>
      <c r="C5" s="176" t="s">
        <v>248</v>
      </c>
      <c r="D5" s="176" t="s">
        <v>247</v>
      </c>
      <c r="E5" s="176" t="s">
        <v>18</v>
      </c>
      <c r="F5" s="177" t="s">
        <v>58</v>
      </c>
      <c r="G5" s="177" t="s">
        <v>59</v>
      </c>
      <c r="H5" s="278" t="s">
        <v>60</v>
      </c>
      <c r="I5" s="278" t="s">
        <v>64</v>
      </c>
      <c r="J5" s="335" t="s">
        <v>65</v>
      </c>
      <c r="K5" s="335" t="s">
        <v>66</v>
      </c>
      <c r="L5" s="320" t="s">
        <v>240</v>
      </c>
      <c r="M5" s="322" t="s">
        <v>241</v>
      </c>
      <c r="N5" s="246" t="s">
        <v>62</v>
      </c>
      <c r="O5" s="246" t="s">
        <v>63</v>
      </c>
      <c r="P5" s="176" t="s">
        <v>8</v>
      </c>
      <c r="Q5" s="176" t="s">
        <v>9</v>
      </c>
      <c r="R5" s="176" t="s">
        <v>10</v>
      </c>
      <c r="S5" s="176" t="s">
        <v>11</v>
      </c>
      <c r="T5" s="176" t="s">
        <v>14</v>
      </c>
      <c r="U5" s="176" t="s">
        <v>15</v>
      </c>
      <c r="V5" s="176" t="s">
        <v>16</v>
      </c>
      <c r="W5" s="176" t="s">
        <v>17</v>
      </c>
      <c r="X5" s="176" t="s">
        <v>19</v>
      </c>
      <c r="Y5" s="280" t="s">
        <v>20</v>
      </c>
      <c r="Z5" s="246" t="s">
        <v>22</v>
      </c>
      <c r="AA5" s="313" t="s">
        <v>242</v>
      </c>
      <c r="AB5" s="314" t="s">
        <v>238</v>
      </c>
      <c r="AC5" s="249" t="s">
        <v>21</v>
      </c>
      <c r="AD5" s="250"/>
      <c r="AE5" s="250"/>
      <c r="AF5" s="251"/>
      <c r="AG5" s="177" t="s">
        <v>25</v>
      </c>
      <c r="AH5" s="282" t="s">
        <v>34</v>
      </c>
      <c r="AI5" s="177" t="s">
        <v>35</v>
      </c>
      <c r="AJ5" s="317" t="s">
        <v>203</v>
      </c>
      <c r="AK5" s="317"/>
      <c r="AL5" s="317"/>
      <c r="AM5" s="180" t="s">
        <v>212</v>
      </c>
      <c r="AN5" s="181"/>
      <c r="AO5" s="186" t="s">
        <v>305</v>
      </c>
      <c r="AP5" s="186" t="s">
        <v>306</v>
      </c>
      <c r="AQ5" s="281" t="s">
        <v>51</v>
      </c>
      <c r="AY5" s="187" t="s">
        <v>28</v>
      </c>
      <c r="AZ5" s="187"/>
      <c r="BA5" s="187" t="s">
        <v>29</v>
      </c>
      <c r="BB5" s="187"/>
      <c r="BE5" s="187"/>
    </row>
    <row r="6" spans="1:58" ht="48" customHeight="1">
      <c r="A6" s="176"/>
      <c r="B6" s="176"/>
      <c r="C6" s="176"/>
      <c r="D6" s="176"/>
      <c r="E6" s="176"/>
      <c r="F6" s="176"/>
      <c r="G6" s="176"/>
      <c r="H6" s="279"/>
      <c r="I6" s="279"/>
      <c r="J6" s="336"/>
      <c r="K6" s="336"/>
      <c r="L6" s="321"/>
      <c r="M6" s="323"/>
      <c r="N6" s="247"/>
      <c r="O6" s="247"/>
      <c r="P6" s="176"/>
      <c r="Q6" s="176"/>
      <c r="R6" s="176"/>
      <c r="S6" s="176"/>
      <c r="T6" s="176"/>
      <c r="U6" s="176"/>
      <c r="V6" s="176"/>
      <c r="W6" s="176"/>
      <c r="X6" s="176"/>
      <c r="Y6" s="280"/>
      <c r="Z6" s="247"/>
      <c r="AA6" s="313"/>
      <c r="AB6" s="314"/>
      <c r="AC6" s="8" t="s">
        <v>56</v>
      </c>
      <c r="AD6" s="8" t="s">
        <v>57</v>
      </c>
      <c r="AE6" s="8" t="s">
        <v>54</v>
      </c>
      <c r="AF6" s="8" t="s">
        <v>55</v>
      </c>
      <c r="AG6" s="176"/>
      <c r="AH6" s="283"/>
      <c r="AI6" s="176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7"/>
      <c r="AP6" s="187"/>
      <c r="AQ6" s="28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>
      <c r="A7" s="4">
        <f>'SO멍텅(실측)'!A7</f>
        <v>0</v>
      </c>
      <c r="B7" s="4" t="str">
        <f>'SO멍텅(실측)'!B7&amp;"F"</f>
        <v>F</v>
      </c>
      <c r="C7" s="4">
        <f>'SO멍텅(실측)'!C7-SO멍텅OP</f>
        <v>-2</v>
      </c>
      <c r="D7" s="4">
        <f>'SO멍텅(실측)'!D7-SO멍텅OP</f>
        <v>-2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-3</v>
      </c>
      <c r="AD7" s="13">
        <f>IF(SO멍텅JB하부늘치=1,AC7,'SO멍텅(실측)'!X7-SO멍텅늘치차감)</f>
        <v>-3</v>
      </c>
      <c r="AE7" s="13">
        <f>'SO멍텅(실측)'!Y7-SO멍텅늘치차감</f>
        <v>-3</v>
      </c>
      <c r="AF7" s="13">
        <f>IF(SO멍텅JB하부늘치=1,AE7,'SO멍텅(실측)'!Z7-SO멍텅늘치차감)</f>
        <v>-3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>
      <c r="A1" s="175" t="str">
        <f>정보!H2</f>
        <v>(4CO와이드) 실측서 ( 경기도 부천 은하마을 주공1단지아파트-3차 ) _김운호소장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>
      <c r="A3" s="2" t="str">
        <f>"현장명 : " &amp; 정보!B1 &amp; ",   (재질) : " &amp; 정보!B7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83" t="s">
        <v>98</v>
      </c>
      <c r="P3" s="18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>
      <c r="A4" s="312" t="str">
        <f>정보!B15</f>
        <v>제작치수 반영 : MH + (2), JB/JD +(3 ),  늘어난치수K -(3),  C + (0),   U + (0), OP1/OP3 - (2), R - (0),  기둥차감 - (0), A + (1)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2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82" t="s">
        <v>215</v>
      </c>
      <c r="AI4" s="182"/>
      <c r="AJ4" s="75"/>
      <c r="AK4" s="9"/>
      <c r="AL4" s="9"/>
      <c r="AM4" s="9"/>
    </row>
    <row r="5" spans="1:48" ht="25.9" customHeight="1">
      <c r="A5" s="176" t="s">
        <v>0</v>
      </c>
      <c r="B5" s="176" t="s">
        <v>1</v>
      </c>
      <c r="C5" s="176" t="s">
        <v>2</v>
      </c>
      <c r="D5" s="176" t="s">
        <v>24</v>
      </c>
      <c r="E5" s="176" t="s">
        <v>254</v>
      </c>
      <c r="F5" s="176" t="s">
        <v>239</v>
      </c>
      <c r="G5" s="176" t="s">
        <v>255</v>
      </c>
      <c r="H5" s="176" t="s">
        <v>18</v>
      </c>
      <c r="I5" s="176" t="s">
        <v>4</v>
      </c>
      <c r="J5" s="176" t="s">
        <v>5</v>
      </c>
      <c r="K5" s="176" t="s">
        <v>256</v>
      </c>
      <c r="L5" s="176" t="s">
        <v>6</v>
      </c>
      <c r="M5" s="176" t="s">
        <v>7</v>
      </c>
      <c r="N5" s="176" t="s">
        <v>47</v>
      </c>
      <c r="O5" s="176" t="s">
        <v>9</v>
      </c>
      <c r="P5" s="176" t="s">
        <v>12</v>
      </c>
      <c r="Q5" s="176" t="s">
        <v>13</v>
      </c>
      <c r="R5" s="176" t="s">
        <v>10</v>
      </c>
      <c r="S5" s="176" t="s">
        <v>11</v>
      </c>
      <c r="T5" s="176" t="s">
        <v>14</v>
      </c>
      <c r="U5" s="176" t="s">
        <v>15</v>
      </c>
      <c r="V5" s="176" t="s">
        <v>16</v>
      </c>
      <c r="W5" s="176" t="s">
        <v>17</v>
      </c>
      <c r="X5" s="176" t="s">
        <v>19</v>
      </c>
      <c r="Y5" s="177" t="s">
        <v>48</v>
      </c>
      <c r="Z5" s="177" t="s">
        <v>22</v>
      </c>
      <c r="AA5" s="177" t="s">
        <v>23</v>
      </c>
      <c r="AB5" s="176" t="s">
        <v>21</v>
      </c>
      <c r="AC5" s="176"/>
      <c r="AD5" s="176"/>
      <c r="AE5" s="176"/>
      <c r="AF5" s="178" t="s">
        <v>91</v>
      </c>
      <c r="AG5" s="178" t="s">
        <v>92</v>
      </c>
      <c r="AH5" s="180" t="s">
        <v>212</v>
      </c>
      <c r="AI5" s="181"/>
      <c r="AJ5" s="177" t="s">
        <v>199</v>
      </c>
      <c r="AK5" s="177" t="s">
        <v>203</v>
      </c>
      <c r="AL5" s="177"/>
      <c r="AM5" s="177"/>
    </row>
    <row r="6" spans="1:48" ht="44.25" customHeight="1">
      <c r="A6" s="176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7"/>
      <c r="AA6" s="177"/>
      <c r="AB6" s="8" t="s">
        <v>43</v>
      </c>
      <c r="AC6" s="8" t="s">
        <v>44</v>
      </c>
      <c r="AD6" s="8" t="s">
        <v>45</v>
      </c>
      <c r="AE6" s="8" t="s">
        <v>46</v>
      </c>
      <c r="AF6" s="179"/>
      <c r="AG6" s="179"/>
      <c r="AH6" s="74" t="s">
        <v>213</v>
      </c>
      <c r="AI6" s="74" t="s">
        <v>214</v>
      </c>
      <c r="AJ6" s="176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185" t="str">
        <f>정보!I2</f>
        <v>(4CO와이드) 제작변환 ( 경기도 부천 은하마을 주공1단지아파트-3차 ) _김운호소장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5"/>
      <c r="AR1" s="185"/>
      <c r="AS1" s="185"/>
      <c r="AT1" s="185"/>
      <c r="AU1" s="185"/>
      <c r="AV1" s="185"/>
      <c r="AW1" s="185"/>
      <c r="AX1" s="37"/>
      <c r="AY1" s="37"/>
    </row>
    <row r="2" spans="1:66" ht="29.25" customHeight="1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26" t="s">
        <v>113</v>
      </c>
      <c r="M2" s="227"/>
      <c r="N2" s="227"/>
      <c r="O2" s="227"/>
      <c r="P2" s="227"/>
      <c r="Q2" s="227"/>
      <c r="R2" s="228">
        <v>1</v>
      </c>
      <c r="S2" s="228"/>
      <c r="T2" s="198" t="s">
        <v>89</v>
      </c>
      <c r="U2" s="199"/>
      <c r="V2" s="200">
        <v>0</v>
      </c>
      <c r="W2" s="200"/>
      <c r="X2" s="292" t="s">
        <v>83</v>
      </c>
      <c r="Y2" s="207"/>
      <c r="Z2" s="207"/>
      <c r="AA2" s="203">
        <v>0</v>
      </c>
      <c r="AB2" s="203"/>
      <c r="AC2" s="331" t="str">
        <f>정보!B5</f>
        <v>OTIS HIX-A201 돌출형</v>
      </c>
      <c r="AD2" s="332"/>
      <c r="AE2" s="332"/>
      <c r="AF2" s="332"/>
      <c r="AG2" s="332"/>
      <c r="AH2" s="332"/>
      <c r="AI2" s="332"/>
      <c r="AJ2" s="332"/>
      <c r="AK2" s="332"/>
      <c r="AL2" s="333"/>
      <c r="AM2" s="198" t="s">
        <v>90</v>
      </c>
      <c r="AN2" s="199"/>
      <c r="AO2" s="350">
        <v>3</v>
      </c>
      <c r="AP2" s="350"/>
      <c r="AQ2" s="1"/>
      <c r="AR2" s="328" t="s">
        <v>229</v>
      </c>
      <c r="AS2" s="329"/>
      <c r="AT2" s="330">
        <v>0</v>
      </c>
      <c r="AU2" s="330"/>
      <c r="AV2" s="1"/>
      <c r="AW2" s="1"/>
    </row>
    <row r="3" spans="1:66" ht="24.75" customHeight="1">
      <c r="A3" s="28" t="str">
        <f>'4CO와이드(실측)'!A3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27" t="s">
        <v>228</v>
      </c>
      <c r="M3" s="227"/>
      <c r="N3" s="227"/>
      <c r="O3" s="227"/>
      <c r="P3" s="227"/>
      <c r="Q3" s="227"/>
      <c r="R3" s="229">
        <v>3</v>
      </c>
      <c r="S3" s="229"/>
      <c r="T3" s="199" t="s">
        <v>77</v>
      </c>
      <c r="U3" s="199"/>
      <c r="V3" s="206">
        <v>0</v>
      </c>
      <c r="W3" s="206"/>
      <c r="X3" s="207" t="s">
        <v>227</v>
      </c>
      <c r="Y3" s="207"/>
      <c r="Z3" s="207"/>
      <c r="AA3" s="208">
        <f>BN7</f>
        <v>1</v>
      </c>
      <c r="AB3" s="208"/>
      <c r="AC3" s="207" t="s">
        <v>78</v>
      </c>
      <c r="AD3" s="207"/>
      <c r="AE3" s="334">
        <v>1</v>
      </c>
      <c r="AF3" s="334"/>
      <c r="AJ3" s="187"/>
      <c r="AK3" s="187"/>
      <c r="AL3" s="3"/>
      <c r="AM3" s="176" t="s">
        <v>73</v>
      </c>
      <c r="AN3" s="176"/>
      <c r="AO3" s="114">
        <v>5</v>
      </c>
      <c r="AP3" s="4" t="s">
        <v>74</v>
      </c>
      <c r="AQ3" s="115">
        <v>4</v>
      </c>
      <c r="AR3" s="234" t="s">
        <v>230</v>
      </c>
      <c r="AS3" s="234"/>
      <c r="AT3" s="351" t="s">
        <v>329</v>
      </c>
      <c r="AU3" s="351"/>
      <c r="AV3" s="240" t="e">
        <f>AZ7</f>
        <v>#DIV/0!</v>
      </c>
      <c r="AW3" s="241"/>
      <c r="BN3" s="186" t="s">
        <v>253</v>
      </c>
    </row>
    <row r="4" spans="1:66" ht="33" customHeight="1">
      <c r="A4" s="172" t="str">
        <f>정보!B15</f>
        <v>제작치수 반영 : MH + (2), JB/JD +(3 ),  늘어난치수K -(3),  C + (0),   U + (0), OP1/OP3 -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52" t="s">
        <v>315</v>
      </c>
      <c r="AI4" s="352"/>
      <c r="AJ4" s="352">
        <f>'4CO와이드(실측)'!AB7</f>
        <v>0</v>
      </c>
      <c r="AK4" s="352"/>
      <c r="AL4" s="231">
        <f ca="1">TODAY()</f>
        <v>45272</v>
      </c>
      <c r="AM4" s="171"/>
      <c r="AN4" s="171"/>
      <c r="AO4" s="9"/>
      <c r="AP4" s="230" t="s">
        <v>117</v>
      </c>
      <c r="AQ4" s="230"/>
      <c r="AR4" s="182" t="s">
        <v>215</v>
      </c>
      <c r="AS4" s="182"/>
      <c r="AT4" s="84"/>
      <c r="AU4" s="238" t="s">
        <v>235</v>
      </c>
      <c r="AV4" s="238"/>
      <c r="AW4" s="239"/>
      <c r="BN4" s="187"/>
    </row>
    <row r="5" spans="1:66" ht="25.9" customHeight="1">
      <c r="A5" s="176" t="s">
        <v>0</v>
      </c>
      <c r="B5" s="176" t="s">
        <v>1</v>
      </c>
      <c r="C5" s="176" t="s">
        <v>2</v>
      </c>
      <c r="D5" s="176" t="s">
        <v>2</v>
      </c>
      <c r="E5" s="176" t="s">
        <v>259</v>
      </c>
      <c r="F5" s="177" t="s">
        <v>261</v>
      </c>
      <c r="G5" s="176" t="s">
        <v>260</v>
      </c>
      <c r="H5" s="176" t="s">
        <v>18</v>
      </c>
      <c r="I5" s="215" t="s">
        <v>41</v>
      </c>
      <c r="J5" s="279" t="s">
        <v>42</v>
      </c>
      <c r="K5" s="279" t="s">
        <v>262</v>
      </c>
      <c r="L5" s="212" t="s">
        <v>105</v>
      </c>
      <c r="M5" s="212" t="s">
        <v>106</v>
      </c>
      <c r="N5" s="216" t="s">
        <v>107</v>
      </c>
      <c r="O5" s="216" t="s">
        <v>108</v>
      </c>
      <c r="P5" s="320" t="s">
        <v>296</v>
      </c>
      <c r="Q5" s="320" t="s">
        <v>297</v>
      </c>
      <c r="R5" s="218" t="s">
        <v>71</v>
      </c>
      <c r="S5" s="218" t="s">
        <v>72</v>
      </c>
      <c r="T5" s="176" t="s">
        <v>8</v>
      </c>
      <c r="U5" s="176" t="s">
        <v>9</v>
      </c>
      <c r="V5" s="176" t="s">
        <v>12</v>
      </c>
      <c r="W5" s="176" t="s">
        <v>13</v>
      </c>
      <c r="X5" s="176" t="s">
        <v>10</v>
      </c>
      <c r="Y5" s="176" t="s">
        <v>11</v>
      </c>
      <c r="Z5" s="214" t="s">
        <v>14</v>
      </c>
      <c r="AA5" s="214" t="s">
        <v>15</v>
      </c>
      <c r="AB5" s="215" t="s">
        <v>16</v>
      </c>
      <c r="AC5" s="215" t="s">
        <v>17</v>
      </c>
      <c r="AD5" s="176" t="s">
        <v>19</v>
      </c>
      <c r="AE5" s="176" t="s">
        <v>20</v>
      </c>
      <c r="AF5" s="177" t="s">
        <v>22</v>
      </c>
      <c r="AG5" s="177" t="s">
        <v>23</v>
      </c>
      <c r="AH5" s="204" t="s">
        <v>79</v>
      </c>
      <c r="AI5" s="205"/>
      <c r="AJ5" s="205"/>
      <c r="AK5" s="205"/>
      <c r="AL5" s="196" t="s">
        <v>91</v>
      </c>
      <c r="AM5" s="196" t="s">
        <v>92</v>
      </c>
      <c r="AN5" s="188" t="s">
        <v>99</v>
      </c>
      <c r="AO5" s="177" t="s">
        <v>61</v>
      </c>
      <c r="AP5" s="177" t="s">
        <v>34</v>
      </c>
      <c r="AQ5" s="177" t="s">
        <v>35</v>
      </c>
      <c r="AR5" s="180" t="s">
        <v>212</v>
      </c>
      <c r="AS5" s="181"/>
      <c r="AT5" s="317" t="s">
        <v>199</v>
      </c>
      <c r="AU5" s="317" t="s">
        <v>204</v>
      </c>
      <c r="AV5" s="317"/>
      <c r="AW5" s="317"/>
      <c r="AX5" s="186" t="s">
        <v>100</v>
      </c>
      <c r="AY5" s="186" t="s">
        <v>101</v>
      </c>
      <c r="AZ5" s="187" t="s">
        <v>80</v>
      </c>
      <c r="BA5" s="191" t="s">
        <v>84</v>
      </c>
      <c r="BB5" s="194" t="s">
        <v>102</v>
      </c>
      <c r="BC5" s="193" t="s">
        <v>94</v>
      </c>
      <c r="BD5" s="193" t="s">
        <v>95</v>
      </c>
      <c r="BE5" s="186" t="s">
        <v>93</v>
      </c>
      <c r="BH5" s="190" t="s">
        <v>28</v>
      </c>
      <c r="BI5" s="190"/>
      <c r="BJ5" s="190" t="s">
        <v>29</v>
      </c>
      <c r="BK5" s="190"/>
      <c r="BL5" s="6" t="s">
        <v>50</v>
      </c>
      <c r="BM5" s="243" t="s">
        <v>104</v>
      </c>
      <c r="BN5" s="242" t="s">
        <v>226</v>
      </c>
    </row>
    <row r="6" spans="1:66" ht="48" customHeight="1">
      <c r="A6" s="176"/>
      <c r="B6" s="176"/>
      <c r="C6" s="176"/>
      <c r="D6" s="176"/>
      <c r="E6" s="176"/>
      <c r="F6" s="176"/>
      <c r="G6" s="176"/>
      <c r="H6" s="176"/>
      <c r="I6" s="215"/>
      <c r="J6" s="279"/>
      <c r="K6" s="279"/>
      <c r="L6" s="213"/>
      <c r="M6" s="213"/>
      <c r="N6" s="217"/>
      <c r="O6" s="217"/>
      <c r="P6" s="321"/>
      <c r="Q6" s="321"/>
      <c r="R6" s="219"/>
      <c r="S6" s="219"/>
      <c r="T6" s="176"/>
      <c r="U6" s="176"/>
      <c r="V6" s="176"/>
      <c r="W6" s="176"/>
      <c r="X6" s="176"/>
      <c r="Y6" s="176"/>
      <c r="Z6" s="214"/>
      <c r="AA6" s="214"/>
      <c r="AB6" s="215"/>
      <c r="AC6" s="215"/>
      <c r="AD6" s="176"/>
      <c r="AE6" s="176"/>
      <c r="AF6" s="177"/>
      <c r="AG6" s="177"/>
      <c r="AH6" s="8" t="s">
        <v>67</v>
      </c>
      <c r="AI6" s="8" t="s">
        <v>68</v>
      </c>
      <c r="AJ6" s="8" t="s">
        <v>69</v>
      </c>
      <c r="AK6" s="8" t="s">
        <v>70</v>
      </c>
      <c r="AL6" s="197"/>
      <c r="AM6" s="197"/>
      <c r="AN6" s="189"/>
      <c r="AO6" s="177"/>
      <c r="AP6" s="176"/>
      <c r="AQ6" s="176"/>
      <c r="AR6" s="74" t="s">
        <v>213</v>
      </c>
      <c r="AS6" s="74" t="s">
        <v>214</v>
      </c>
      <c r="AT6" s="318"/>
      <c r="AU6" s="86" t="s">
        <v>200</v>
      </c>
      <c r="AV6" s="86" t="s">
        <v>201</v>
      </c>
      <c r="AW6" s="86" t="s">
        <v>202</v>
      </c>
      <c r="AX6" s="187"/>
      <c r="AY6" s="187"/>
      <c r="AZ6" s="187"/>
      <c r="BA6" s="192"/>
      <c r="BB6" s="195"/>
      <c r="BC6" s="193"/>
      <c r="BD6" s="193"/>
      <c r="BE6" s="187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43"/>
      <c r="BN6" s="242"/>
    </row>
    <row r="7" spans="1:66" ht="25.5" customHeight="1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>
      <c r="A1" s="174" t="str">
        <f>정보!H3</f>
        <v>(4CO멍텅구리) 실측서 ( 경기도 부천 은하마을 주공1단지아파트-3차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>
      <c r="A3" s="5" t="str">
        <f>"현장명 : " &amp; 정보!B1 &amp; ",   (재질) : " &amp; 정보!B8</f>
        <v>현장명 : 경기도 부천 은하마을 주공1단지아파트-3차,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55"/>
      <c r="M3" s="255"/>
      <c r="N3" s="256"/>
      <c r="O3" s="256"/>
      <c r="P3" s="257"/>
      <c r="Q3" s="257"/>
      <c r="R3" s="257"/>
      <c r="S3" s="252" t="s">
        <v>97</v>
      </c>
      <c r="T3" s="252"/>
      <c r="U3" s="253"/>
      <c r="V3" s="253"/>
      <c r="W3" s="254"/>
      <c r="X3" s="254"/>
    </row>
    <row r="4" spans="1:42" ht="33" customHeight="1">
      <c r="A4" s="172" t="str">
        <f>정보!B16</f>
        <v>제작치수 반영 : JB/JD +(3 ),  늘어난치수K -(3),  C + (0),  U +(0), OP1/OP3 -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82" t="s">
        <v>215</v>
      </c>
      <c r="AF4" s="182"/>
      <c r="AG4" s="81" t="s">
        <v>234</v>
      </c>
    </row>
    <row r="5" spans="1:42" ht="25.9" customHeight="1">
      <c r="A5" s="176" t="s">
        <v>0</v>
      </c>
      <c r="B5" s="176" t="s">
        <v>1</v>
      </c>
      <c r="C5" s="176" t="s">
        <v>263</v>
      </c>
      <c r="D5" s="176" t="s">
        <v>264</v>
      </c>
      <c r="E5" s="176" t="s">
        <v>255</v>
      </c>
      <c r="F5" s="176" t="s">
        <v>18</v>
      </c>
      <c r="G5" s="176" t="s">
        <v>4</v>
      </c>
      <c r="H5" s="176" t="s">
        <v>265</v>
      </c>
      <c r="I5" s="176" t="s">
        <v>266</v>
      </c>
      <c r="J5" s="176" t="s">
        <v>6</v>
      </c>
      <c r="K5" s="176" t="s">
        <v>7</v>
      </c>
      <c r="L5" s="176" t="s">
        <v>8</v>
      </c>
      <c r="M5" s="176" t="s">
        <v>9</v>
      </c>
      <c r="N5" s="176" t="s">
        <v>10</v>
      </c>
      <c r="O5" s="176" t="s">
        <v>11</v>
      </c>
      <c r="P5" s="176" t="s">
        <v>14</v>
      </c>
      <c r="Q5" s="176" t="s">
        <v>15</v>
      </c>
      <c r="R5" s="176" t="s">
        <v>16</v>
      </c>
      <c r="S5" s="176" t="s">
        <v>17</v>
      </c>
      <c r="T5" s="176" t="s">
        <v>19</v>
      </c>
      <c r="U5" s="176" t="s">
        <v>20</v>
      </c>
      <c r="V5" s="246" t="s">
        <v>22</v>
      </c>
      <c r="W5" s="246" t="s">
        <v>23</v>
      </c>
      <c r="X5" s="249" t="s">
        <v>21</v>
      </c>
      <c r="Y5" s="250"/>
      <c r="Z5" s="250"/>
      <c r="AA5" s="251"/>
      <c r="AB5" s="177" t="s">
        <v>203</v>
      </c>
      <c r="AC5" s="177"/>
      <c r="AD5" s="177"/>
      <c r="AE5" s="180" t="s">
        <v>212</v>
      </c>
      <c r="AF5" s="181"/>
      <c r="AG5" s="80" t="s">
        <v>231</v>
      </c>
    </row>
    <row r="6" spans="1:42" ht="47.25" customHeight="1">
      <c r="A6" s="176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247"/>
      <c r="W6" s="247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74" t="str">
        <f>정보!I3</f>
        <v>(4CO멍텅구리) 제작변환 ( 경기도 부천 은하마을 주공1단지아파트-3차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58" t="s">
        <v>75</v>
      </c>
      <c r="AQ1" s="258"/>
      <c r="AR1" s="258"/>
      <c r="AW1" s="24"/>
    </row>
    <row r="2" spans="1:58" ht="28.5" customHeight="1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22" t="s">
        <v>307</v>
      </c>
      <c r="K2" s="222"/>
      <c r="L2" s="222"/>
      <c r="M2" s="107">
        <v>0</v>
      </c>
      <c r="N2" s="99"/>
      <c r="O2" s="99"/>
      <c r="P2" s="99"/>
      <c r="Q2" s="274" t="s">
        <v>113</v>
      </c>
      <c r="R2" s="274"/>
      <c r="S2" s="274"/>
      <c r="T2" s="274"/>
      <c r="U2" s="269">
        <v>1</v>
      </c>
      <c r="V2" s="269"/>
      <c r="W2" s="266" t="s">
        <v>103</v>
      </c>
      <c r="X2" s="267"/>
      <c r="Y2" s="95">
        <v>0</v>
      </c>
      <c r="Z2" s="266" t="s">
        <v>88</v>
      </c>
      <c r="AA2" s="267"/>
      <c r="AB2" s="94">
        <v>0</v>
      </c>
      <c r="AC2" s="69"/>
      <c r="AD2" s="260" t="s">
        <v>82</v>
      </c>
      <c r="AE2" s="261"/>
      <c r="AF2" s="353">
        <v>0</v>
      </c>
      <c r="AG2" s="353"/>
      <c r="AH2" s="98" t="s">
        <v>114</v>
      </c>
      <c r="AI2" s="354">
        <v>3</v>
      </c>
      <c r="AJ2" s="354"/>
      <c r="AK2" s="1"/>
      <c r="AL2" s="1"/>
      <c r="AM2" s="1"/>
      <c r="AN2" s="1"/>
      <c r="AO2" s="1"/>
      <c r="AP2" s="258"/>
      <c r="AQ2" s="258"/>
      <c r="AR2" s="258"/>
      <c r="AW2" s="24"/>
    </row>
    <row r="3" spans="1:58" ht="33" customHeight="1">
      <c r="A3" s="33" t="str">
        <f>'4CO멍텅(실측)'!A3</f>
        <v>현장명 : 경기도 부천 은하마을 주공1단지아파트-3차,   (재질) : HL 1.2T</v>
      </c>
      <c r="B3" s="2"/>
      <c r="C3" s="2"/>
      <c r="D3" s="2"/>
      <c r="E3" s="2"/>
      <c r="F3" s="2"/>
      <c r="G3" s="2"/>
      <c r="H3" s="2"/>
      <c r="I3" s="2"/>
      <c r="J3" s="2"/>
      <c r="K3" s="260" t="s">
        <v>76</v>
      </c>
      <c r="L3" s="260"/>
      <c r="M3" s="106">
        <v>3</v>
      </c>
      <c r="N3" s="100"/>
      <c r="O3" s="100"/>
      <c r="P3" s="100"/>
      <c r="Q3" s="260" t="s">
        <v>77</v>
      </c>
      <c r="R3" s="260"/>
      <c r="S3" s="273">
        <v>0</v>
      </c>
      <c r="T3" s="273"/>
      <c r="U3" s="274" t="s">
        <v>227</v>
      </c>
      <c r="V3" s="274"/>
      <c r="W3" s="274"/>
      <c r="X3" s="275">
        <f>BE7</f>
        <v>1</v>
      </c>
      <c r="Y3" s="275"/>
      <c r="Z3" s="270" t="s">
        <v>78</v>
      </c>
      <c r="AA3" s="270"/>
      <c r="AB3" s="93">
        <v>1</v>
      </c>
      <c r="AC3" s="101"/>
      <c r="AF3" s="218" t="s">
        <v>73</v>
      </c>
      <c r="AG3" s="218"/>
      <c r="AH3" s="114">
        <v>4</v>
      </c>
      <c r="AI3" s="4" t="s">
        <v>74</v>
      </c>
      <c r="AJ3" s="115">
        <v>4</v>
      </c>
      <c r="AK3" s="289" t="s">
        <v>330</v>
      </c>
      <c r="AL3" s="221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>
      <c r="A4" s="172" t="str">
        <f>'4CO멍텅(실측)'!A4:AB4</f>
        <v>제작치수 반영 : JB/JD +(3 ),  늘어난치수K -(3),  C + (0),  U +(0), OP1/OP3 -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52" t="s">
        <v>313</v>
      </c>
      <c r="AE4" s="352"/>
      <c r="AF4" s="352">
        <f>'4CO멍텅(실측)'!X7</f>
        <v>0</v>
      </c>
      <c r="AG4" s="352"/>
      <c r="AH4" s="9"/>
      <c r="AI4" s="231">
        <f ca="1">TODAY()</f>
        <v>45272</v>
      </c>
      <c r="AJ4" s="171"/>
      <c r="AK4" s="287" t="s">
        <v>235</v>
      </c>
      <c r="AL4" s="287"/>
      <c r="AM4" s="288"/>
      <c r="AN4" s="182" t="s">
        <v>215</v>
      </c>
      <c r="AO4" s="182"/>
      <c r="AP4" s="25"/>
      <c r="AQ4" s="25"/>
      <c r="AR4" s="24"/>
      <c r="AW4" s="24"/>
      <c r="BE4" s="186" t="s">
        <v>253</v>
      </c>
    </row>
    <row r="5" spans="1:58" ht="25.9" customHeight="1">
      <c r="A5" s="176" t="s">
        <v>0</v>
      </c>
      <c r="B5" s="176" t="s">
        <v>1</v>
      </c>
      <c r="C5" s="176" t="s">
        <v>267</v>
      </c>
      <c r="D5" s="177" t="s">
        <v>261</v>
      </c>
      <c r="E5" s="176" t="s">
        <v>268</v>
      </c>
      <c r="F5" s="176" t="s">
        <v>18</v>
      </c>
      <c r="G5" s="177" t="s">
        <v>58</v>
      </c>
      <c r="H5" s="177" t="s">
        <v>269</v>
      </c>
      <c r="I5" s="177" t="s">
        <v>270</v>
      </c>
      <c r="J5" s="278" t="s">
        <v>60</v>
      </c>
      <c r="K5" s="278" t="s">
        <v>64</v>
      </c>
      <c r="L5" s="335" t="s">
        <v>65</v>
      </c>
      <c r="M5" s="335" t="s">
        <v>66</v>
      </c>
      <c r="N5" s="320" t="s">
        <v>294</v>
      </c>
      <c r="O5" s="320" t="s">
        <v>295</v>
      </c>
      <c r="P5" s="246" t="s">
        <v>62</v>
      </c>
      <c r="Q5" s="246" t="s">
        <v>63</v>
      </c>
      <c r="R5" s="176" t="s">
        <v>8</v>
      </c>
      <c r="S5" s="176" t="s">
        <v>9</v>
      </c>
      <c r="T5" s="176" t="s">
        <v>10</v>
      </c>
      <c r="U5" s="176" t="s">
        <v>11</v>
      </c>
      <c r="V5" s="176" t="s">
        <v>14</v>
      </c>
      <c r="W5" s="176" t="s">
        <v>15</v>
      </c>
      <c r="X5" s="176" t="s">
        <v>16</v>
      </c>
      <c r="Y5" s="176" t="s">
        <v>17</v>
      </c>
      <c r="Z5" s="176" t="s">
        <v>19</v>
      </c>
      <c r="AA5" s="176" t="s">
        <v>20</v>
      </c>
      <c r="AB5" s="246" t="s">
        <v>22</v>
      </c>
      <c r="AC5" s="246" t="s">
        <v>23</v>
      </c>
      <c r="AD5" s="249" t="s">
        <v>21</v>
      </c>
      <c r="AE5" s="250"/>
      <c r="AF5" s="250"/>
      <c r="AG5" s="251"/>
      <c r="AH5" s="177" t="s">
        <v>25</v>
      </c>
      <c r="AI5" s="282" t="s">
        <v>34</v>
      </c>
      <c r="AJ5" s="177" t="s">
        <v>35</v>
      </c>
      <c r="AK5" s="317" t="s">
        <v>203</v>
      </c>
      <c r="AL5" s="317"/>
      <c r="AM5" s="317"/>
      <c r="AN5" s="180" t="s">
        <v>212</v>
      </c>
      <c r="AO5" s="181"/>
      <c r="AP5" s="186" t="s">
        <v>305</v>
      </c>
      <c r="AQ5" s="186" t="s">
        <v>306</v>
      </c>
      <c r="AR5" s="281" t="s">
        <v>51</v>
      </c>
      <c r="AY5" s="187" t="s">
        <v>28</v>
      </c>
      <c r="AZ5" s="187"/>
      <c r="BA5" s="187" t="s">
        <v>29</v>
      </c>
      <c r="BB5" s="187"/>
      <c r="BE5" s="187"/>
    </row>
    <row r="6" spans="1:58" ht="48" customHeight="1">
      <c r="A6" s="176"/>
      <c r="B6" s="176"/>
      <c r="C6" s="176"/>
      <c r="D6" s="176"/>
      <c r="E6" s="176"/>
      <c r="F6" s="176"/>
      <c r="G6" s="176"/>
      <c r="H6" s="176"/>
      <c r="I6" s="176"/>
      <c r="J6" s="279"/>
      <c r="K6" s="279"/>
      <c r="L6" s="336"/>
      <c r="M6" s="336"/>
      <c r="N6" s="321"/>
      <c r="O6" s="321"/>
      <c r="P6" s="247"/>
      <c r="Q6" s="247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247"/>
      <c r="AC6" s="247"/>
      <c r="AD6" s="8" t="s">
        <v>56</v>
      </c>
      <c r="AE6" s="8" t="s">
        <v>57</v>
      </c>
      <c r="AF6" s="8" t="s">
        <v>54</v>
      </c>
      <c r="AG6" s="8" t="s">
        <v>55</v>
      </c>
      <c r="AH6" s="176"/>
      <c r="AI6" s="283"/>
      <c r="AJ6" s="176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7"/>
      <c r="AQ6" s="187"/>
      <c r="AR6" s="28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>
      <c r="A1" s="174" t="str">
        <f>정보!K2</f>
        <v>(2UP) 실측서 ( 경기도 부천 은하마을 주공1단지아파트-3차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>
      <c r="A3" s="5" t="str">
        <f>"현장명 : " &amp; 정보!B1 &amp; ",   (재질) : " &amp; 정보!B8</f>
        <v>현장명 : 경기도 부천 은하마을 주공1단지아파트-3차,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55"/>
      <c r="L3" s="255"/>
      <c r="M3" s="256"/>
      <c r="N3" s="256"/>
      <c r="O3" s="257"/>
      <c r="P3" s="257"/>
      <c r="Q3" s="257"/>
      <c r="R3" s="120"/>
      <c r="S3" s="252" t="s">
        <v>97</v>
      </c>
      <c r="T3" s="252"/>
      <c r="U3" s="252"/>
      <c r="V3" s="253"/>
      <c r="W3" s="253"/>
      <c r="X3" s="254"/>
      <c r="Y3" s="254"/>
    </row>
    <row r="4" spans="1:40" ht="33" customHeight="1">
      <c r="A4" s="172" t="str">
        <f>정보!B17</f>
        <v>제작치수 반영 : JB/JD +(3 ),  늘어난치수K -(0),  C + (0),   U + (0), OP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82" t="s">
        <v>215</v>
      </c>
      <c r="AD4" s="182"/>
      <c r="AE4" s="81" t="s">
        <v>234</v>
      </c>
    </row>
    <row r="5" spans="1:40" ht="25.9" customHeight="1">
      <c r="A5" s="176" t="s">
        <v>0</v>
      </c>
      <c r="B5" s="176" t="s">
        <v>1</v>
      </c>
      <c r="C5" s="176" t="s">
        <v>3</v>
      </c>
      <c r="D5" s="176" t="s">
        <v>18</v>
      </c>
      <c r="E5" s="176" t="s">
        <v>4</v>
      </c>
      <c r="F5" s="176" t="s">
        <v>5</v>
      </c>
      <c r="G5" s="278" t="s">
        <v>274</v>
      </c>
      <c r="H5" s="278" t="s">
        <v>275</v>
      </c>
      <c r="I5" s="335" t="s">
        <v>276</v>
      </c>
      <c r="J5" s="335" t="s">
        <v>277</v>
      </c>
      <c r="K5" s="176" t="s">
        <v>8</v>
      </c>
      <c r="L5" s="176" t="s">
        <v>9</v>
      </c>
      <c r="M5" s="176" t="s">
        <v>10</v>
      </c>
      <c r="N5" s="176" t="s">
        <v>11</v>
      </c>
      <c r="O5" s="357" t="s">
        <v>14</v>
      </c>
      <c r="P5" s="355" t="s">
        <v>282</v>
      </c>
      <c r="Q5" s="355" t="s">
        <v>283</v>
      </c>
      <c r="R5" s="335" t="s">
        <v>129</v>
      </c>
      <c r="S5" s="335" t="s">
        <v>280</v>
      </c>
      <c r="T5" s="335" t="s">
        <v>281</v>
      </c>
      <c r="U5" s="176" t="s">
        <v>19</v>
      </c>
      <c r="V5" s="176" t="s">
        <v>20</v>
      </c>
      <c r="W5" s="246" t="s">
        <v>22</v>
      </c>
      <c r="X5" s="246" t="s">
        <v>23</v>
      </c>
      <c r="Y5" s="249" t="s">
        <v>21</v>
      </c>
      <c r="Z5" s="250"/>
      <c r="AA5" s="250"/>
      <c r="AB5" s="251"/>
      <c r="AC5" s="180" t="s">
        <v>212</v>
      </c>
      <c r="AD5" s="181"/>
      <c r="AE5" s="80" t="s">
        <v>231</v>
      </c>
    </row>
    <row r="6" spans="1:40" ht="47.25" customHeight="1">
      <c r="A6" s="176"/>
      <c r="B6" s="176"/>
      <c r="C6" s="176"/>
      <c r="D6" s="176"/>
      <c r="E6" s="176"/>
      <c r="F6" s="176"/>
      <c r="G6" s="279"/>
      <c r="H6" s="279"/>
      <c r="I6" s="336"/>
      <c r="J6" s="336"/>
      <c r="K6" s="176"/>
      <c r="L6" s="176"/>
      <c r="M6" s="176"/>
      <c r="N6" s="176"/>
      <c r="O6" s="356"/>
      <c r="P6" s="356"/>
      <c r="Q6" s="356"/>
      <c r="R6" s="336"/>
      <c r="S6" s="336"/>
      <c r="T6" s="336"/>
      <c r="U6" s="176"/>
      <c r="V6" s="176"/>
      <c r="W6" s="247"/>
      <c r="X6" s="247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>
      <c r="A1" s="174" t="str">
        <f>정보!L2</f>
        <v>(2UP) 제작변환 ( 경기도 부천 은하마을 주공1단지아파트-3차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58" t="s">
        <v>75</v>
      </c>
      <c r="AM1" s="258"/>
      <c r="AN1" s="258"/>
      <c r="AS1" s="24"/>
    </row>
    <row r="2" spans="1:54" ht="28.5" customHeight="1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22" t="s">
        <v>308</v>
      </c>
      <c r="H2" s="222"/>
      <c r="I2" s="222"/>
      <c r="J2" s="271">
        <v>0</v>
      </c>
      <c r="K2" s="271"/>
      <c r="L2" s="271"/>
      <c r="M2" s="271"/>
      <c r="N2" s="358" t="s">
        <v>113</v>
      </c>
      <c r="O2" s="358"/>
      <c r="P2" s="358"/>
      <c r="Q2" s="358"/>
      <c r="R2" s="269">
        <v>1</v>
      </c>
      <c r="S2" s="269"/>
      <c r="T2" s="359" t="s">
        <v>103</v>
      </c>
      <c r="U2" s="360"/>
      <c r="V2" s="361"/>
      <c r="W2" s="108">
        <v>0</v>
      </c>
      <c r="X2" s="121"/>
      <c r="Y2" s="266" t="s">
        <v>88</v>
      </c>
      <c r="Z2" s="267"/>
      <c r="AA2" s="264">
        <v>0</v>
      </c>
      <c r="AB2" s="264"/>
      <c r="AC2" s="260" t="s">
        <v>82</v>
      </c>
      <c r="AD2" s="261"/>
      <c r="AE2" s="262">
        <v>0</v>
      </c>
      <c r="AF2" s="262"/>
      <c r="AG2" s="98" t="s">
        <v>114</v>
      </c>
      <c r="AH2" s="259">
        <v>0</v>
      </c>
      <c r="AI2" s="259"/>
      <c r="AJ2" s="1"/>
      <c r="AK2" s="1"/>
      <c r="AL2" s="258"/>
      <c r="AM2" s="258"/>
      <c r="AN2" s="258"/>
      <c r="AS2" s="24"/>
    </row>
    <row r="3" spans="1:54" ht="33" customHeight="1">
      <c r="A3" s="33" t="str">
        <f>'2UP(실측)'!A3</f>
        <v>현장명 : 경기도 부천 은하마을 주공1단지아파트-3차,   (재질) : HL 1.2T</v>
      </c>
      <c r="B3" s="2"/>
      <c r="C3" s="2"/>
      <c r="D3" s="2"/>
      <c r="E3" s="2"/>
      <c r="F3" s="2"/>
      <c r="G3" s="260" t="s">
        <v>76</v>
      </c>
      <c r="H3" s="260"/>
      <c r="I3" s="260"/>
      <c r="J3" s="272">
        <v>3</v>
      </c>
      <c r="K3" s="272"/>
      <c r="L3" s="272"/>
      <c r="M3" s="272"/>
      <c r="N3" s="260" t="s">
        <v>77</v>
      </c>
      <c r="O3" s="260"/>
      <c r="P3" s="273">
        <v>0</v>
      </c>
      <c r="Q3" s="273"/>
      <c r="R3" s="227" t="s">
        <v>227</v>
      </c>
      <c r="S3" s="227"/>
      <c r="T3" s="227"/>
      <c r="U3" s="275">
        <f>BA7</f>
        <v>1</v>
      </c>
      <c r="V3" s="275"/>
      <c r="W3" s="275"/>
      <c r="X3" s="122"/>
      <c r="Y3" s="270" t="s">
        <v>78</v>
      </c>
      <c r="Z3" s="270"/>
      <c r="AA3" s="263">
        <v>1</v>
      </c>
      <c r="AB3" s="263"/>
      <c r="AE3" s="176" t="s">
        <v>73</v>
      </c>
      <c r="AF3" s="176"/>
      <c r="AG3" s="106">
        <v>3</v>
      </c>
      <c r="AH3" s="4" t="s">
        <v>74</v>
      </c>
      <c r="AI3" s="138">
        <v>4</v>
      </c>
      <c r="AJ3" s="289" t="s">
        <v>331</v>
      </c>
      <c r="AK3" s="221"/>
      <c r="AL3" s="160">
        <f>AO7</f>
        <v>18.43494882292201</v>
      </c>
      <c r="AM3" s="25"/>
      <c r="AN3" s="24"/>
      <c r="AS3" s="24"/>
    </row>
    <row r="4" spans="1:54" ht="33" customHeight="1">
      <c r="A4" s="362" t="str">
        <f>'2UP(실측)'!A4:AB4</f>
        <v>제작치수 반영 : JB/JD +(3 ),  늘어난치수K -(0),  C + (0),   U + (0), OP - (2), R - (0),  기둥차감 - (0), A + (1)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75"/>
      <c r="Y4" s="363" t="s">
        <v>332</v>
      </c>
      <c r="Z4" s="364"/>
      <c r="AA4" s="365">
        <f>AC7</f>
        <v>0</v>
      </c>
      <c r="AB4" s="366"/>
      <c r="AC4" s="75"/>
      <c r="AD4" s="75"/>
      <c r="AE4" s="75"/>
      <c r="AF4" s="75"/>
      <c r="AG4" s="9"/>
      <c r="AH4" s="231">
        <f ca="1">TODAY()</f>
        <v>45272</v>
      </c>
      <c r="AI4" s="171"/>
      <c r="AJ4" s="182" t="s">
        <v>215</v>
      </c>
      <c r="AK4" s="182"/>
      <c r="AL4" s="25"/>
      <c r="AM4" s="25"/>
      <c r="AN4" s="24"/>
      <c r="AS4" s="24"/>
      <c r="BA4" s="186" t="s">
        <v>253</v>
      </c>
    </row>
    <row r="5" spans="1:54" ht="25.9" customHeight="1">
      <c r="A5" s="176" t="s">
        <v>0</v>
      </c>
      <c r="B5" s="176" t="s">
        <v>1</v>
      </c>
      <c r="C5" s="176" t="s">
        <v>3</v>
      </c>
      <c r="D5" s="176" t="s">
        <v>18</v>
      </c>
      <c r="E5" s="177" t="s">
        <v>58</v>
      </c>
      <c r="F5" s="177" t="s">
        <v>59</v>
      </c>
      <c r="G5" s="276" t="s">
        <v>60</v>
      </c>
      <c r="H5" s="276" t="s">
        <v>64</v>
      </c>
      <c r="I5" s="278" t="s">
        <v>65</v>
      </c>
      <c r="J5" s="278" t="s">
        <v>66</v>
      </c>
      <c r="K5" s="367" t="s">
        <v>278</v>
      </c>
      <c r="L5" s="367" t="s">
        <v>279</v>
      </c>
      <c r="M5" s="246" t="s">
        <v>62</v>
      </c>
      <c r="N5" s="246" t="s">
        <v>63</v>
      </c>
      <c r="O5" s="176" t="s">
        <v>8</v>
      </c>
      <c r="P5" s="176" t="s">
        <v>9</v>
      </c>
      <c r="Q5" s="176" t="s">
        <v>10</v>
      </c>
      <c r="R5" s="176" t="s">
        <v>11</v>
      </c>
      <c r="S5" s="357" t="s">
        <v>14</v>
      </c>
      <c r="T5" s="355" t="s">
        <v>282</v>
      </c>
      <c r="U5" s="355" t="s">
        <v>283</v>
      </c>
      <c r="V5" s="335" t="s">
        <v>129</v>
      </c>
      <c r="W5" s="335" t="s">
        <v>280</v>
      </c>
      <c r="X5" s="335" t="s">
        <v>281</v>
      </c>
      <c r="Y5" s="176" t="s">
        <v>19</v>
      </c>
      <c r="Z5" s="280" t="s">
        <v>20</v>
      </c>
      <c r="AA5" s="246" t="s">
        <v>22</v>
      </c>
      <c r="AB5" s="246" t="s">
        <v>23</v>
      </c>
      <c r="AC5" s="249" t="s">
        <v>21</v>
      </c>
      <c r="AD5" s="250"/>
      <c r="AE5" s="250"/>
      <c r="AF5" s="251"/>
      <c r="AG5" s="177" t="s">
        <v>25</v>
      </c>
      <c r="AH5" s="282" t="s">
        <v>34</v>
      </c>
      <c r="AI5" s="177" t="s">
        <v>35</v>
      </c>
      <c r="AJ5" s="180" t="s">
        <v>212</v>
      </c>
      <c r="AK5" s="181"/>
      <c r="AL5" s="186" t="s">
        <v>305</v>
      </c>
      <c r="AM5" s="186" t="s">
        <v>306</v>
      </c>
      <c r="AN5" s="281" t="s">
        <v>51</v>
      </c>
      <c r="AU5" s="187" t="s">
        <v>28</v>
      </c>
      <c r="AV5" s="187"/>
      <c r="AW5" s="187" t="s">
        <v>29</v>
      </c>
      <c r="AX5" s="187"/>
      <c r="BA5" s="187"/>
    </row>
    <row r="6" spans="1:54" ht="48" customHeight="1">
      <c r="A6" s="176"/>
      <c r="B6" s="176"/>
      <c r="C6" s="176"/>
      <c r="D6" s="176"/>
      <c r="E6" s="176"/>
      <c r="F6" s="176"/>
      <c r="G6" s="277"/>
      <c r="H6" s="277"/>
      <c r="I6" s="279"/>
      <c r="J6" s="279"/>
      <c r="K6" s="368"/>
      <c r="L6" s="368"/>
      <c r="M6" s="247"/>
      <c r="N6" s="247"/>
      <c r="O6" s="176"/>
      <c r="P6" s="176"/>
      <c r="Q6" s="176"/>
      <c r="R6" s="176"/>
      <c r="S6" s="356"/>
      <c r="T6" s="356"/>
      <c r="U6" s="356"/>
      <c r="V6" s="336"/>
      <c r="W6" s="336"/>
      <c r="X6" s="336"/>
      <c r="Y6" s="176"/>
      <c r="Z6" s="280"/>
      <c r="AA6" s="247"/>
      <c r="AB6" s="247"/>
      <c r="AC6" s="8" t="s">
        <v>56</v>
      </c>
      <c r="AD6" s="8" t="s">
        <v>57</v>
      </c>
      <c r="AE6" s="8" t="s">
        <v>54</v>
      </c>
      <c r="AF6" s="8" t="s">
        <v>55</v>
      </c>
      <c r="AG6" s="176"/>
      <c r="AH6" s="283"/>
      <c r="AI6" s="176"/>
      <c r="AJ6" s="74" t="s">
        <v>213</v>
      </c>
      <c r="AK6" s="74" t="s">
        <v>214</v>
      </c>
      <c r="AL6" s="187"/>
      <c r="AM6" s="187"/>
      <c r="AN6" s="28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3</v>
      </c>
      <c r="F7" s="4">
        <f>'2UP(실측)'!F7+MAX(AL7,AM7)+IF(BA7=1,AE7,0)+UP2멍텅JBJD늘림치수</f>
        <v>3</v>
      </c>
      <c r="G7" s="4">
        <f>'2UP(실측)'!G7+AL7+IF(BA7=1,AC7,0)+UP2멍텅JB강제키움+UP2멍텅JBJD늘림치수</f>
        <v>3</v>
      </c>
      <c r="H7" s="4">
        <f>'2UP(실측)'!H7+AL7+IF(BA7=1,AD7,0)+UP2멍텅JB강제키움+UP2멍텅JBJD늘림치수-IF(UP2멍텅JB하부늘치=1,'2UP(실측)'!Y7-'2UP(실측)'!Z7,0)</f>
        <v>3</v>
      </c>
      <c r="I7" s="4">
        <f>'2UP(실측)'!I7+AM7+IF(BA7=1,AE7,0)+UP2멍텅JB강제키움+UP2멍텅JBJD늘림치수</f>
        <v>3</v>
      </c>
      <c r="J7" s="4">
        <f>'2UP(실측)'!J7+AM7+IF(BA7=1,AF7,0)+UP2멍텅JB강제키움+UP2멍텅JBJD늘림치수-IF(UP2멍텅JB하부늘치=1,'2UP(실측)'!AA7-'2UP(실측)'!AB7,0)</f>
        <v>3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0*0.6</v>
      </c>
      <c r="AH7" s="12" t="str">
        <f t="shared" ref="AH7" si="2">AV7&amp;"*"&amp;AU7</f>
        <v>0*0.4</v>
      </c>
      <c r="AI7" s="10" t="str">
        <f t="shared" ref="AI7" si="3">AX7&amp;"*"&amp;AW7</f>
        <v>0*0.4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18.43494882292201</v>
      </c>
      <c r="AP7" s="36">
        <f>E7-COS(RADIANS(AO7))*G7</f>
        <v>0.15395010584845892</v>
      </c>
      <c r="AQ7" s="36">
        <f>F7-COS(RADIANS(AO7))*I7</f>
        <v>0.15395010584845892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0.60000000000000031</v>
      </c>
      <c r="AU7" s="3">
        <f>Q7+O7+MAX(G7,H7)+AB7-1.2*$AI$3+IF(BA7=0,MAX(AC7,AD7))+IF(Q7=0,1.2,0)</f>
        <v>0.40000000000000013</v>
      </c>
      <c r="AV7" s="3">
        <f>MAX(S7,T7+U7)</f>
        <v>0</v>
      </c>
      <c r="AW7" s="3">
        <f>R7+P7+MAX(I7,J7)+AB7-1.2*$AI$3+IF(BA7=0,MAX(AE7,AF7))+IF(R7=0,1.2,0)</f>
        <v>0.40000000000000013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>
      <c r="A1" s="369" t="str">
        <f>정보!K3</f>
        <v>(3UP) 실측서 ( 경기도 부천 은하마을 주공1단지아파트-3차 ) _김운호소장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  <c r="AD1" s="369"/>
      <c r="AE1" s="369"/>
      <c r="AF1" s="369"/>
      <c r="AG1" s="369"/>
      <c r="AH1" s="369"/>
      <c r="AI1" s="1"/>
      <c r="AJ1" s="1"/>
      <c r="AK1" s="1"/>
    </row>
    <row r="2" spans="1:46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>
      <c r="A3" s="5" t="str">
        <f>"현장명 : " &amp; 정보!B1 &amp; ",   (재질) : " &amp; 정보!B8</f>
        <v>현장명 : 경기도 부천 은하마을 주공1단지아파트-3차,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55"/>
      <c r="N3" s="255"/>
      <c r="O3" s="256"/>
      <c r="P3" s="256"/>
      <c r="Q3" s="257"/>
      <c r="R3" s="257"/>
      <c r="S3" s="257"/>
      <c r="T3" s="257"/>
      <c r="U3" s="120"/>
      <c r="V3" s="252" t="s">
        <v>97</v>
      </c>
      <c r="W3" s="252"/>
      <c r="X3" s="252"/>
      <c r="Y3" s="252"/>
      <c r="Z3" s="253"/>
      <c r="AA3" s="253"/>
      <c r="AB3" s="254"/>
      <c r="AC3" s="254"/>
    </row>
    <row r="4" spans="1:46" ht="33" customHeight="1">
      <c r="A4" s="172" t="str">
        <f>정보!B18</f>
        <v>제작치수 반영 : JB/JD +(3 ),  늘어난치수K -(0),  C + (0),   U + (0), OP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82" t="s">
        <v>215</v>
      </c>
      <c r="AJ4" s="182"/>
      <c r="AK4" s="81" t="s">
        <v>234</v>
      </c>
    </row>
    <row r="5" spans="1:46" ht="25.9" customHeight="1">
      <c r="A5" s="176" t="s">
        <v>0</v>
      </c>
      <c r="B5" s="176" t="s">
        <v>1</v>
      </c>
      <c r="C5" s="176" t="s">
        <v>3</v>
      </c>
      <c r="D5" s="176" t="s">
        <v>18</v>
      </c>
      <c r="E5" s="176" t="s">
        <v>4</v>
      </c>
      <c r="F5" s="176" t="s">
        <v>5</v>
      </c>
      <c r="G5" s="278" t="s">
        <v>274</v>
      </c>
      <c r="H5" s="278" t="s">
        <v>284</v>
      </c>
      <c r="I5" s="278" t="s">
        <v>275</v>
      </c>
      <c r="J5" s="335" t="s">
        <v>276</v>
      </c>
      <c r="K5" s="335" t="s">
        <v>285</v>
      </c>
      <c r="L5" s="335" t="s">
        <v>277</v>
      </c>
      <c r="M5" s="176" t="s">
        <v>8</v>
      </c>
      <c r="N5" s="176" t="s">
        <v>9</v>
      </c>
      <c r="O5" s="176" t="s">
        <v>10</v>
      </c>
      <c r="P5" s="176" t="s">
        <v>11</v>
      </c>
      <c r="Q5" s="357" t="s">
        <v>14</v>
      </c>
      <c r="R5" s="355" t="s">
        <v>282</v>
      </c>
      <c r="S5" s="355" t="s">
        <v>286</v>
      </c>
      <c r="T5" s="355" t="s">
        <v>283</v>
      </c>
      <c r="U5" s="335" t="s">
        <v>129</v>
      </c>
      <c r="V5" s="335" t="s">
        <v>280</v>
      </c>
      <c r="W5" s="335" t="s">
        <v>287</v>
      </c>
      <c r="X5" s="335" t="s">
        <v>281</v>
      </c>
      <c r="Y5" s="176" t="s">
        <v>19</v>
      </c>
      <c r="Z5" s="176" t="s">
        <v>20</v>
      </c>
      <c r="AA5" s="246" t="s">
        <v>22</v>
      </c>
      <c r="AB5" s="246" t="s">
        <v>23</v>
      </c>
      <c r="AC5" s="249" t="s">
        <v>21</v>
      </c>
      <c r="AD5" s="250"/>
      <c r="AE5" s="250"/>
      <c r="AF5" s="250"/>
      <c r="AG5" s="250"/>
      <c r="AH5" s="251"/>
      <c r="AI5" s="180" t="s">
        <v>212</v>
      </c>
      <c r="AJ5" s="181"/>
      <c r="AK5" s="80" t="s">
        <v>231</v>
      </c>
    </row>
    <row r="6" spans="1:46" ht="47.25" customHeight="1">
      <c r="A6" s="176"/>
      <c r="B6" s="176"/>
      <c r="C6" s="176"/>
      <c r="D6" s="176"/>
      <c r="E6" s="176"/>
      <c r="F6" s="176"/>
      <c r="G6" s="279"/>
      <c r="H6" s="279"/>
      <c r="I6" s="279"/>
      <c r="J6" s="336"/>
      <c r="K6" s="336"/>
      <c r="L6" s="336"/>
      <c r="M6" s="176"/>
      <c r="N6" s="176"/>
      <c r="O6" s="176"/>
      <c r="P6" s="176"/>
      <c r="Q6" s="356"/>
      <c r="R6" s="356"/>
      <c r="S6" s="356"/>
      <c r="T6" s="356"/>
      <c r="U6" s="336"/>
      <c r="V6" s="336"/>
      <c r="W6" s="336"/>
      <c r="X6" s="336"/>
      <c r="Y6" s="176"/>
      <c r="Z6" s="176"/>
      <c r="AA6" s="247"/>
      <c r="AB6" s="247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>
      <c r="A1" s="174" t="str">
        <f>정보!L3</f>
        <v>(3UP) 제작변환 ( 경기도 부천 은하마을 주공1단지아파트-3차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58" t="s">
        <v>75</v>
      </c>
      <c r="AS1" s="258"/>
      <c r="AT1" s="258"/>
      <c r="AY1" s="24"/>
    </row>
    <row r="2" spans="1:60" ht="28.5" customHeight="1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63" t="s">
        <v>309</v>
      </c>
      <c r="H2" s="372"/>
      <c r="I2" s="372"/>
      <c r="J2" s="372"/>
      <c r="K2" s="364"/>
      <c r="L2" s="271">
        <v>0</v>
      </c>
      <c r="M2" s="271"/>
      <c r="N2" s="271"/>
      <c r="O2" s="271"/>
      <c r="P2" s="268" t="s">
        <v>113</v>
      </c>
      <c r="Q2" s="268"/>
      <c r="R2" s="268"/>
      <c r="S2" s="268"/>
      <c r="T2" s="269">
        <v>1</v>
      </c>
      <c r="U2" s="269"/>
      <c r="V2" s="266" t="s">
        <v>103</v>
      </c>
      <c r="W2" s="266"/>
      <c r="X2" s="267"/>
      <c r="Y2" s="373">
        <v>0</v>
      </c>
      <c r="Z2" s="374"/>
      <c r="AA2" s="370"/>
      <c r="AB2" s="371"/>
      <c r="AC2" s="266" t="s">
        <v>88</v>
      </c>
      <c r="AD2" s="267"/>
      <c r="AE2" s="264">
        <v>0</v>
      </c>
      <c r="AF2" s="264"/>
      <c r="AG2" s="260" t="s">
        <v>82</v>
      </c>
      <c r="AH2" s="260"/>
      <c r="AI2" s="261"/>
      <c r="AJ2" s="262">
        <v>0</v>
      </c>
      <c r="AK2" s="262"/>
      <c r="AL2" s="262"/>
      <c r="AM2" s="98" t="s">
        <v>114</v>
      </c>
      <c r="AN2" s="259">
        <v>0</v>
      </c>
      <c r="AO2" s="259"/>
      <c r="AP2" s="1"/>
      <c r="AQ2" s="1"/>
      <c r="AR2" s="258"/>
      <c r="AS2" s="258"/>
      <c r="AT2" s="258"/>
      <c r="AY2" s="24"/>
    </row>
    <row r="3" spans="1:60" ht="33" customHeight="1">
      <c r="A3" s="33" t="str">
        <f>'3UP(실측)'!A3</f>
        <v>현장명 : 경기도 부천 은하마을 주공1단지아파트-3차,   (재질) : HL 1.2T</v>
      </c>
      <c r="B3" s="2"/>
      <c r="C3" s="2"/>
      <c r="D3" s="2"/>
      <c r="E3" s="2"/>
      <c r="F3" s="2"/>
      <c r="G3" s="359" t="s">
        <v>76</v>
      </c>
      <c r="H3" s="377"/>
      <c r="I3" s="377"/>
      <c r="J3" s="377"/>
      <c r="K3" s="378"/>
      <c r="L3" s="272">
        <v>3</v>
      </c>
      <c r="M3" s="272"/>
      <c r="N3" s="272"/>
      <c r="O3" s="272"/>
      <c r="P3" s="260" t="s">
        <v>77</v>
      </c>
      <c r="Q3" s="260"/>
      <c r="R3" s="273">
        <v>0</v>
      </c>
      <c r="S3" s="273"/>
      <c r="T3" s="379" t="s">
        <v>289</v>
      </c>
      <c r="U3" s="380"/>
      <c r="V3" s="380"/>
      <c r="W3" s="381"/>
      <c r="X3" s="275">
        <f>BG7</f>
        <v>1</v>
      </c>
      <c r="Y3" s="275"/>
      <c r="Z3" s="275"/>
      <c r="AA3" s="375"/>
      <c r="AB3" s="376"/>
      <c r="AC3" s="270" t="s">
        <v>78</v>
      </c>
      <c r="AD3" s="270"/>
      <c r="AE3" s="263">
        <v>1</v>
      </c>
      <c r="AF3" s="263"/>
      <c r="AJ3" s="176" t="s">
        <v>73</v>
      </c>
      <c r="AK3" s="176"/>
      <c r="AL3" s="176"/>
      <c r="AM3" s="106">
        <v>3</v>
      </c>
      <c r="AN3" s="4" t="s">
        <v>74</v>
      </c>
      <c r="AO3" s="138">
        <v>4</v>
      </c>
      <c r="AP3" s="382" t="s">
        <v>327</v>
      </c>
      <c r="AQ3" s="383"/>
      <c r="AR3" s="160">
        <f>AU7</f>
        <v>18.43494882292201</v>
      </c>
      <c r="AS3" s="25"/>
      <c r="AT3" s="24"/>
      <c r="AY3" s="24"/>
    </row>
    <row r="4" spans="1:60" ht="33" customHeight="1">
      <c r="A4" s="362" t="str">
        <f>'3UP(실측)'!A4:AH4</f>
        <v>제작치수 반영 : JB/JD +(3 ),  늘어난치수K -(0),  C + (0),   U + (0), OP - (2), R - (0),  기둥차감 - (0), A + (1)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A4" s="75"/>
      <c r="AB4" s="75"/>
      <c r="AC4" s="365" t="s">
        <v>333</v>
      </c>
      <c r="AD4" s="286"/>
      <c r="AE4" s="286">
        <f>AG7</f>
        <v>0</v>
      </c>
      <c r="AF4" s="366"/>
      <c r="AG4" s="75"/>
      <c r="AH4" s="75"/>
      <c r="AI4" s="75"/>
      <c r="AJ4" s="75"/>
      <c r="AK4" s="75"/>
      <c r="AL4" s="75"/>
      <c r="AM4" s="9"/>
      <c r="AN4" s="231">
        <f ca="1">TODAY()</f>
        <v>45272</v>
      </c>
      <c r="AO4" s="171"/>
      <c r="AP4" s="182" t="s">
        <v>215</v>
      </c>
      <c r="AQ4" s="182"/>
      <c r="AR4" s="25"/>
      <c r="AS4" s="25"/>
      <c r="AT4" s="24"/>
      <c r="AY4" s="24"/>
      <c r="BG4" s="186" t="s">
        <v>253</v>
      </c>
    </row>
    <row r="5" spans="1:60" ht="25.9" customHeight="1">
      <c r="A5" s="176" t="s">
        <v>0</v>
      </c>
      <c r="B5" s="176" t="s">
        <v>1</v>
      </c>
      <c r="C5" s="176" t="s">
        <v>3</v>
      </c>
      <c r="D5" s="176" t="s">
        <v>18</v>
      </c>
      <c r="E5" s="177" t="s">
        <v>58</v>
      </c>
      <c r="F5" s="177" t="s">
        <v>59</v>
      </c>
      <c r="G5" s="278" t="s">
        <v>274</v>
      </c>
      <c r="H5" s="278" t="s">
        <v>284</v>
      </c>
      <c r="I5" s="278" t="s">
        <v>275</v>
      </c>
      <c r="J5" s="335" t="s">
        <v>276</v>
      </c>
      <c r="K5" s="335" t="s">
        <v>285</v>
      </c>
      <c r="L5" s="335" t="s">
        <v>277</v>
      </c>
      <c r="M5" s="367" t="s">
        <v>278</v>
      </c>
      <c r="N5" s="367" t="s">
        <v>288</v>
      </c>
      <c r="O5" s="246" t="s">
        <v>62</v>
      </c>
      <c r="P5" s="246" t="s">
        <v>63</v>
      </c>
      <c r="Q5" s="176" t="s">
        <v>8</v>
      </c>
      <c r="R5" s="176" t="s">
        <v>9</v>
      </c>
      <c r="S5" s="176" t="s">
        <v>10</v>
      </c>
      <c r="T5" s="176" t="s">
        <v>11</v>
      </c>
      <c r="U5" s="357" t="s">
        <v>14</v>
      </c>
      <c r="V5" s="355" t="s">
        <v>282</v>
      </c>
      <c r="W5" s="355" t="s">
        <v>286</v>
      </c>
      <c r="X5" s="355" t="s">
        <v>283</v>
      </c>
      <c r="Y5" s="335" t="s">
        <v>129</v>
      </c>
      <c r="Z5" s="335" t="s">
        <v>280</v>
      </c>
      <c r="AA5" s="335" t="s">
        <v>287</v>
      </c>
      <c r="AB5" s="335" t="s">
        <v>281</v>
      </c>
      <c r="AC5" s="176" t="s">
        <v>19</v>
      </c>
      <c r="AD5" s="280" t="s">
        <v>20</v>
      </c>
      <c r="AE5" s="246" t="s">
        <v>22</v>
      </c>
      <c r="AF5" s="246" t="s">
        <v>23</v>
      </c>
      <c r="AG5" s="249" t="s">
        <v>21</v>
      </c>
      <c r="AH5" s="250"/>
      <c r="AI5" s="250"/>
      <c r="AJ5" s="250"/>
      <c r="AK5" s="250"/>
      <c r="AL5" s="251"/>
      <c r="AM5" s="177" t="s">
        <v>25</v>
      </c>
      <c r="AN5" s="282" t="s">
        <v>34</v>
      </c>
      <c r="AO5" s="177" t="s">
        <v>35</v>
      </c>
      <c r="AP5" s="180" t="s">
        <v>212</v>
      </c>
      <c r="AQ5" s="181"/>
      <c r="AR5" s="186" t="s">
        <v>305</v>
      </c>
      <c r="AS5" s="186" t="s">
        <v>306</v>
      </c>
      <c r="AT5" s="281" t="s">
        <v>51</v>
      </c>
      <c r="BA5" s="187" t="s">
        <v>28</v>
      </c>
      <c r="BB5" s="187"/>
      <c r="BC5" s="187" t="s">
        <v>29</v>
      </c>
      <c r="BD5" s="187"/>
      <c r="BG5" s="187"/>
    </row>
    <row r="6" spans="1:60" ht="48" customHeight="1">
      <c r="A6" s="176"/>
      <c r="B6" s="176"/>
      <c r="C6" s="176"/>
      <c r="D6" s="176"/>
      <c r="E6" s="176"/>
      <c r="F6" s="176"/>
      <c r="G6" s="279"/>
      <c r="H6" s="279"/>
      <c r="I6" s="279"/>
      <c r="J6" s="336"/>
      <c r="K6" s="336"/>
      <c r="L6" s="336"/>
      <c r="M6" s="368"/>
      <c r="N6" s="368"/>
      <c r="O6" s="247"/>
      <c r="P6" s="247"/>
      <c r="Q6" s="176"/>
      <c r="R6" s="176"/>
      <c r="S6" s="176"/>
      <c r="T6" s="176"/>
      <c r="U6" s="356"/>
      <c r="V6" s="356"/>
      <c r="W6" s="356"/>
      <c r="X6" s="356"/>
      <c r="Y6" s="336"/>
      <c r="Z6" s="336"/>
      <c r="AA6" s="336"/>
      <c r="AB6" s="336"/>
      <c r="AC6" s="176"/>
      <c r="AD6" s="280"/>
      <c r="AE6" s="247"/>
      <c r="AF6" s="247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76"/>
      <c r="AN6" s="283"/>
      <c r="AO6" s="176"/>
      <c r="AP6" s="74" t="s">
        <v>213</v>
      </c>
      <c r="AQ6" s="74" t="s">
        <v>214</v>
      </c>
      <c r="AR6" s="187"/>
      <c r="AS6" s="187"/>
      <c r="AT6" s="28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3</v>
      </c>
      <c r="F7" s="4">
        <f>'3UP(실측)'!F7+MAX(AR7,AS7)+IF(BG7=1,AJ7,0)+UP3멍텅JBJD늘림치수</f>
        <v>3</v>
      </c>
      <c r="G7" s="4">
        <f>'3UP(실측)'!G7+AR7+IF(BG7=1,AG7,0)+UP3멍텅JB강제키움+UP3멍텅JBJD늘림치수</f>
        <v>3</v>
      </c>
      <c r="H7" s="4">
        <f>'3UP(실측)'!H7+AR7+IF(BG7=1,AH7,0)+UP3멍텅JB강제키움+UP3멍텅JBJD늘림치수-IF(UP3멍텅JB하부늘치=1,'3UP(실측)'!AC7-'3UP(실측)'!AD7,0)</f>
        <v>3</v>
      </c>
      <c r="I7" s="4">
        <f>'3UP(실측)'!I7+AR7+IF(BG7=1,AI7,0)+UP3멍텅JB강제키움+UP3멍텅JBJD늘림치수-IF(UP3멍텅JB하부늘치=1,'3UP(실측)'!AC7-'3UP(실측)'!AE7,0)</f>
        <v>3</v>
      </c>
      <c r="J7" s="4">
        <f>'3UP(실측)'!J7+AS7+IF(BG7=1,AJ7,0)+UP3멍텅JB강제키움+UP3멍텅JBJD늘림치수</f>
        <v>3</v>
      </c>
      <c r="K7" s="4">
        <f>'3UP(실측)'!K7+AS7+IF(BG7=1,AK7,0)+UP3멍텅JB강제키움+UP3멍텅JBJD늘림치수-IF(UP3멍텅JB하부늘치=1,'3UP(실측)'!AF7-'3UP(실측)'!AG7,0)</f>
        <v>3</v>
      </c>
      <c r="L7" s="4">
        <f>'3UP(실측)'!L7+AS7+IF(BG7=1,AL7,0)+UP3멍텅JB강제키움+UP3멍텅JBJD늘림치수-IF(UP3멍텅JB하부늘치=1,'3UP(실측)'!AF7-'3UP(실측)'!AH7,0)</f>
        <v>3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0*0.6</v>
      </c>
      <c r="AN7" s="12" t="str">
        <f t="shared" ref="AN7" si="2">BB7&amp;"*"&amp;BA7</f>
        <v>0*0.4</v>
      </c>
      <c r="AO7" s="10" t="str">
        <f t="shared" ref="AO7" si="3">BD7&amp;"*"&amp;BC7</f>
        <v>0*0.4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18.43494882292201</v>
      </c>
      <c r="AV7" s="36">
        <f>E7-COS(RADIANS(AU7))*G7</f>
        <v>0.15395010584845892</v>
      </c>
      <c r="AW7" s="36">
        <f>F7-COS(RADIANS(AU7))*J7</f>
        <v>0.15395010584845892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0.60000000000000031</v>
      </c>
      <c r="BA7" s="3">
        <f>S7+Q7+MAX(G7,I7)+AF7-1.2*$AO$3+IF(BG7=0,MAX(AG7,AI7))+IF(S7=0,1.2,0)</f>
        <v>0.40000000000000013</v>
      </c>
      <c r="BB7" s="3">
        <f>MAX(U7,V7+W7+X7)</f>
        <v>0</v>
      </c>
      <c r="BC7" s="3">
        <f>T7+R7+MAX(J7,L7)+AF7-1.2*$AO$3+IF(BG7=0,MAX(AJ7,AL7))+IF(T7=0,1.2,0)</f>
        <v>0.40000000000000013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2023-12-11T23:39:41Z</cp:lastPrinted>
  <dcterms:created xsi:type="dcterms:W3CDTF">2020-01-09T06:39:51Z</dcterms:created>
  <dcterms:modified xsi:type="dcterms:W3CDTF">2023-12-12T05:37:22Z</dcterms:modified>
</cp:coreProperties>
</file>