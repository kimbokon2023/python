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B0F7E189-53CB-46D0-8862-0231C79DF09C}" xr6:coauthVersionLast="47" xr6:coauthVersionMax="47" xr10:uidLastSave="{00000000-0000-0000-0000-000000000000}"/>
  <bookViews>
    <workbookView xWindow="-28920" yWindow="-120" windowWidth="29040" windowHeight="15840" tabRatio="947" activeTab="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" l="1"/>
  <c r="AL9" i="2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L11" i="2"/>
  <c r="AM11" i="2"/>
  <c r="AN11" i="2"/>
  <c r="AO11" i="2"/>
  <c r="AP11" i="2"/>
  <c r="AQ11" i="2"/>
  <c r="AR11" i="2"/>
  <c r="AS11" i="2"/>
  <c r="AL12" i="2"/>
  <c r="AM12" i="2"/>
  <c r="AN12" i="2"/>
  <c r="AO12" i="2"/>
  <c r="AP12" i="2"/>
  <c r="AQ12" i="2"/>
  <c r="AR12" i="2"/>
  <c r="AS12" i="2"/>
  <c r="AL13" i="2"/>
  <c r="AM13" i="2"/>
  <c r="AN13" i="2"/>
  <c r="AO13" i="2"/>
  <c r="AP13" i="2"/>
  <c r="AQ13" i="2"/>
  <c r="AR13" i="2"/>
  <c r="AS13" i="2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BI8" i="8" s="1"/>
  <c r="AM8" i="8"/>
  <c r="AN8" i="8"/>
  <c r="AO8" i="8"/>
  <c r="AP8" i="8"/>
  <c r="AQ8" i="8"/>
  <c r="AR8" i="8"/>
  <c r="AS8" i="8"/>
  <c r="AX8" i="8" s="1"/>
  <c r="AT8" i="8"/>
  <c r="T8" i="8" s="1"/>
  <c r="AY8" i="8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/>
  <c r="AE9" i="8"/>
  <c r="AF9" i="8"/>
  <c r="AM9" i="8"/>
  <c r="AN9" i="8"/>
  <c r="AO9" i="8"/>
  <c r="AP9" i="8"/>
  <c r="AQ9" i="8"/>
  <c r="AR9" i="8"/>
  <c r="AS9" i="8"/>
  <c r="S9" i="8" s="1"/>
  <c r="AT9" i="8"/>
  <c r="T9" i="8" s="1"/>
  <c r="AX9" i="8"/>
  <c r="A10" i="8"/>
  <c r="B10" i="8"/>
  <c r="E10" i="8"/>
  <c r="F10" i="8"/>
  <c r="U10" i="8"/>
  <c r="V10" i="8"/>
  <c r="W10" i="8"/>
  <c r="X10" i="8"/>
  <c r="Y10" i="8"/>
  <c r="C10" i="8" s="1"/>
  <c r="AA10" i="8"/>
  <c r="AB10" i="8"/>
  <c r="AC10" i="8"/>
  <c r="AD10" i="8" s="1"/>
  <c r="AE10" i="8"/>
  <c r="AF10" i="8"/>
  <c r="AM10" i="8"/>
  <c r="AN10" i="8"/>
  <c r="AO10" i="8"/>
  <c r="AP10" i="8"/>
  <c r="AQ10" i="8"/>
  <c r="AR10" i="8"/>
  <c r="AS10" i="8"/>
  <c r="AX10" i="8" s="1"/>
  <c r="AT10" i="8"/>
  <c r="T10" i="8" s="1"/>
  <c r="P10" i="8" s="1"/>
  <c r="BI10" i="8"/>
  <c r="G10" i="8" s="1"/>
  <c r="A11" i="8"/>
  <c r="B11" i="8"/>
  <c r="E11" i="8"/>
  <c r="F11" i="8"/>
  <c r="S11" i="8"/>
  <c r="O11" i="8" s="1"/>
  <c r="M11" i="8" s="1"/>
  <c r="U11" i="8"/>
  <c r="V11" i="8"/>
  <c r="W11" i="8"/>
  <c r="X11" i="8"/>
  <c r="Y11" i="8"/>
  <c r="C11" i="8" s="1"/>
  <c r="AA11" i="8"/>
  <c r="AB11" i="8"/>
  <c r="AC11" i="8"/>
  <c r="AD11" i="8"/>
  <c r="AE11" i="8"/>
  <c r="AF11" i="8"/>
  <c r="AM11" i="8"/>
  <c r="AN11" i="8"/>
  <c r="AO11" i="8"/>
  <c r="AP11" i="8"/>
  <c r="AQ11" i="8"/>
  <c r="AR11" i="8"/>
  <c r="AS11" i="8"/>
  <c r="AX11" i="8" s="1"/>
  <c r="AT11" i="8"/>
  <c r="T11" i="8" s="1"/>
  <c r="P11" i="8" s="1"/>
  <c r="N11" i="8" s="1"/>
  <c r="A12" i="8"/>
  <c r="B12" i="8"/>
  <c r="E12" i="8"/>
  <c r="F12" i="8"/>
  <c r="U12" i="8"/>
  <c r="V12" i="8"/>
  <c r="W12" i="8"/>
  <c r="X12" i="8"/>
  <c r="Y12" i="8"/>
  <c r="D12" i="8" s="1"/>
  <c r="AH12" i="8" s="1"/>
  <c r="Z12" i="8"/>
  <c r="AI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Y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/>
  <c r="AE13" i="8"/>
  <c r="AF13" i="8" s="1"/>
  <c r="AM13" i="8"/>
  <c r="AN13" i="8"/>
  <c r="AO13" i="8"/>
  <c r="AP13" i="8"/>
  <c r="AQ13" i="8"/>
  <c r="AR13" i="8"/>
  <c r="AS13" i="8"/>
  <c r="S13" i="8" s="1"/>
  <c r="AT13" i="8"/>
  <c r="T13" i="8" s="1"/>
  <c r="AG11" i="8" l="1"/>
  <c r="BD11" i="8" s="1"/>
  <c r="AX13" i="8"/>
  <c r="AX12" i="8"/>
  <c r="BF12" i="8"/>
  <c r="C12" i="8"/>
  <c r="AG12" i="8" s="1"/>
  <c r="BD12" i="8" s="1"/>
  <c r="BF9" i="8"/>
  <c r="AY11" i="8"/>
  <c r="S12" i="8"/>
  <c r="D11" i="8"/>
  <c r="AH11" i="8" s="1"/>
  <c r="BF11" i="8" s="1"/>
  <c r="BA12" i="8"/>
  <c r="P13" i="8"/>
  <c r="N13" i="8" s="1"/>
  <c r="P12" i="8"/>
  <c r="N12" i="8" s="1"/>
  <c r="P9" i="8"/>
  <c r="N9" i="8" s="1"/>
  <c r="P8" i="8"/>
  <c r="N8" i="8" s="1"/>
  <c r="I8" i="8"/>
  <c r="J8" i="8"/>
  <c r="K8" i="8"/>
  <c r="G8" i="8"/>
  <c r="H8" i="8"/>
  <c r="O13" i="8"/>
  <c r="M13" i="8" s="1"/>
  <c r="O9" i="8"/>
  <c r="M9" i="8" s="1"/>
  <c r="N10" i="8"/>
  <c r="AG13" i="8"/>
  <c r="BD13" i="8" s="1"/>
  <c r="AG10" i="8"/>
  <c r="BD10" i="8" s="1"/>
  <c r="AG8" i="8"/>
  <c r="BD8" i="8" s="1"/>
  <c r="O12" i="8"/>
  <c r="M12" i="8" s="1"/>
  <c r="AY9" i="8"/>
  <c r="C9" i="8"/>
  <c r="AF8" i="8"/>
  <c r="L8" i="8" s="1"/>
  <c r="BE8" i="8" s="1"/>
  <c r="BI13" i="8"/>
  <c r="L10" i="8"/>
  <c r="D10" i="8"/>
  <c r="AH10" i="8" s="1"/>
  <c r="BF10" i="8" s="1"/>
  <c r="D13" i="8"/>
  <c r="AH13" i="8" s="1"/>
  <c r="BF13" i="8" s="1"/>
  <c r="AY10" i="8"/>
  <c r="S10" i="8"/>
  <c r="K10" i="8"/>
  <c r="AY13" i="8"/>
  <c r="BI11" i="8"/>
  <c r="J10" i="8"/>
  <c r="D8" i="8"/>
  <c r="AH8" i="8" s="1"/>
  <c r="BF8" i="8" s="1"/>
  <c r="S8" i="8"/>
  <c r="H10" i="8"/>
  <c r="AU10" i="8" s="1"/>
  <c r="BI9" i="8"/>
  <c r="I10" i="8"/>
  <c r="BI12" i="8"/>
  <c r="BE10" i="8" l="1"/>
  <c r="AV10" i="8"/>
  <c r="BH12" i="8"/>
  <c r="BH11" i="8"/>
  <c r="Q10" i="8"/>
  <c r="Z10" i="8" s="1"/>
  <c r="AZ10" i="8"/>
  <c r="G12" i="8"/>
  <c r="H12" i="8"/>
  <c r="K12" i="8"/>
  <c r="I12" i="8"/>
  <c r="BC12" i="8" s="1"/>
  <c r="AK12" i="8" s="1"/>
  <c r="J12" i="8"/>
  <c r="L12" i="8"/>
  <c r="AU8" i="8"/>
  <c r="AW8" i="8" s="1"/>
  <c r="R8" i="8" s="1"/>
  <c r="AL10" i="8"/>
  <c r="BH10" i="8"/>
  <c r="O8" i="8"/>
  <c r="M8" i="8" s="1"/>
  <c r="O10" i="8"/>
  <c r="M10" i="8" s="1"/>
  <c r="BC10" i="8"/>
  <c r="AK10" i="8" s="1"/>
  <c r="BH9" i="8"/>
  <c r="AG9" i="8"/>
  <c r="BD9" i="8" s="1"/>
  <c r="BH13" i="8"/>
  <c r="AL8" i="8"/>
  <c r="H13" i="8"/>
  <c r="J13" i="8"/>
  <c r="I13" i="8"/>
  <c r="K13" i="8"/>
  <c r="L13" i="8"/>
  <c r="G13" i="8"/>
  <c r="L9" i="8"/>
  <c r="G9" i="8"/>
  <c r="H9" i="8"/>
  <c r="I9" i="8"/>
  <c r="J9" i="8"/>
  <c r="K9" i="8"/>
  <c r="AW10" i="8"/>
  <c r="R10" i="8" s="1"/>
  <c r="J11" i="8"/>
  <c r="K11" i="8"/>
  <c r="BE11" i="8" s="1"/>
  <c r="AL11" i="8" s="1"/>
  <c r="L11" i="8"/>
  <c r="H11" i="8"/>
  <c r="G11" i="8"/>
  <c r="I11" i="8"/>
  <c r="BH8" i="8"/>
  <c r="BG10" i="8" l="1"/>
  <c r="BE13" i="8"/>
  <c r="AL13" i="8" s="1"/>
  <c r="BC13" i="8"/>
  <c r="AK13" i="8" s="1"/>
  <c r="BE12" i="8"/>
  <c r="AL12" i="8" s="1"/>
  <c r="BE9" i="8"/>
  <c r="AL9" i="8" s="1"/>
  <c r="BC8" i="8"/>
  <c r="AK8" i="8" s="1"/>
  <c r="AU12" i="8"/>
  <c r="AW12" i="8" s="1"/>
  <c r="R12" i="8" s="1"/>
  <c r="AU9" i="8"/>
  <c r="AW9" i="8" s="1"/>
  <c r="R9" i="8" s="1"/>
  <c r="AI10" i="8"/>
  <c r="BA10" i="8"/>
  <c r="BB10" i="8"/>
  <c r="BC11" i="8"/>
  <c r="AK11" i="8" s="1"/>
  <c r="AV8" i="8"/>
  <c r="AU13" i="8"/>
  <c r="AV13" i="8" s="1"/>
  <c r="AU11" i="8"/>
  <c r="AW11" i="8" s="1"/>
  <c r="R11" i="8" s="1"/>
  <c r="BB12" i="8"/>
  <c r="AJ12" i="8" s="1"/>
  <c r="BC9" i="8"/>
  <c r="AK9" i="8" s="1"/>
  <c r="AV9" i="8" l="1"/>
  <c r="AW13" i="8"/>
  <c r="R13" i="8" s="1"/>
  <c r="AV11" i="8"/>
  <c r="Q11" i="8" s="1"/>
  <c r="Q13" i="8"/>
  <c r="AZ13" i="8"/>
  <c r="AV12" i="8"/>
  <c r="AJ10" i="8"/>
  <c r="AZ9" i="8"/>
  <c r="Q9" i="8"/>
  <c r="Q8" i="8"/>
  <c r="AZ8" i="8"/>
  <c r="AZ11" i="8" l="1"/>
  <c r="Z8" i="8"/>
  <c r="BG8" i="8"/>
  <c r="Q12" i="8"/>
  <c r="BG12" i="8" s="1"/>
  <c r="AZ12" i="8"/>
  <c r="Z9" i="8"/>
  <c r="BG9" i="8"/>
  <c r="Z11" i="8"/>
  <c r="BG11" i="8"/>
  <c r="Z13" i="8"/>
  <c r="BG13" i="8"/>
  <c r="AI9" i="8" l="1"/>
  <c r="BA9" i="8"/>
  <c r="BB9" i="8"/>
  <c r="AI13" i="8"/>
  <c r="BA13" i="8"/>
  <c r="BB13" i="8"/>
  <c r="AI11" i="8"/>
  <c r="BA11" i="8"/>
  <c r="AJ11" i="8" s="1"/>
  <c r="BB11" i="8"/>
  <c r="AI8" i="8"/>
  <c r="BA8" i="8"/>
  <c r="BB8" i="8"/>
  <c r="AJ13" i="8" l="1"/>
  <c r="AJ8" i="8"/>
  <c r="AJ9" i="8"/>
  <c r="B7" i="19" l="1"/>
  <c r="E7" i="19"/>
  <c r="F7" i="19"/>
  <c r="G7" i="19"/>
  <c r="P7" i="19"/>
  <c r="R7" i="19"/>
  <c r="V7" i="19"/>
  <c r="W7" i="19"/>
  <c r="S7" i="19" s="1"/>
  <c r="Q7" i="19" s="1"/>
  <c r="X7" i="19"/>
  <c r="Y7" i="19"/>
  <c r="Z7" i="19"/>
  <c r="AA7" i="19"/>
  <c r="AB7" i="19"/>
  <c r="C7" i="19" s="1"/>
  <c r="AK7" i="19" s="1"/>
  <c r="AD7" i="19"/>
  <c r="AE7" i="19"/>
  <c r="AF7" i="19"/>
  <c r="AG7" i="19"/>
  <c r="AH7" i="19" s="1"/>
  <c r="AI7" i="19"/>
  <c r="AJ7" i="19"/>
  <c r="AQ7" i="19"/>
  <c r="AR7" i="19"/>
  <c r="AS7" i="19"/>
  <c r="AT7" i="19"/>
  <c r="AU7" i="19"/>
  <c r="AV7" i="19"/>
  <c r="AQ7" i="26"/>
  <c r="AP7" i="26"/>
  <c r="AP7" i="22"/>
  <c r="AO7" i="22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Y7" i="22"/>
  <c r="D7" i="19" l="1"/>
  <c r="AL7" i="19" s="1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C7" i="26" l="1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X7" i="19"/>
  <c r="AW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D7" i="24"/>
  <c r="AS7" i="32" l="1"/>
  <c r="T7" i="32" s="1"/>
  <c r="AR7" i="32"/>
  <c r="S7" i="32" l="1"/>
  <c r="Q7" i="32" s="1"/>
  <c r="AD7" i="32"/>
  <c r="AC7" i="32" s="1"/>
  <c r="R7" i="32"/>
  <c r="U7" i="26"/>
  <c r="S7" i="26" s="1"/>
  <c r="AL7" i="10" l="1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BD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BC7" i="19"/>
  <c r="BI7" i="19"/>
  <c r="BM7" i="19"/>
  <c r="J2" i="16"/>
  <c r="J7" i="19" l="1"/>
  <c r="K7" i="19"/>
  <c r="L7" i="19"/>
  <c r="O7" i="19" s="1"/>
  <c r="M7" i="19"/>
  <c r="H7" i="19"/>
  <c r="I7" i="19"/>
  <c r="AZ7" i="19" s="1"/>
  <c r="Y3" i="19"/>
  <c r="K7" i="22"/>
  <c r="G7" i="22"/>
  <c r="F7" i="22"/>
  <c r="I7" i="22"/>
  <c r="H7" i="22"/>
  <c r="J7" i="22"/>
  <c r="BD7" i="22"/>
  <c r="AW7" i="22"/>
  <c r="A4" i="22"/>
  <c r="AP7" i="8"/>
  <c r="Y7" i="14"/>
  <c r="N7" i="19" l="1"/>
  <c r="BH7" i="19"/>
  <c r="AO7" i="19" s="1"/>
  <c r="BJ7" i="19"/>
  <c r="AP7" i="19" s="1"/>
  <c r="BB7" i="19"/>
  <c r="U7" i="19" s="1"/>
  <c r="AY7" i="19"/>
  <c r="A4" i="20"/>
  <c r="A4" i="19"/>
  <c r="BA7" i="19" l="1"/>
  <c r="T7" i="19" s="1"/>
  <c r="AC7" i="19" s="1"/>
  <c r="AM7" i="19" s="1"/>
  <c r="AU3" i="19"/>
  <c r="BE7" i="19" l="1"/>
  <c r="BG7" i="19"/>
  <c r="BF7" i="19"/>
  <c r="BL7" i="19"/>
  <c r="AN7" i="19" l="1"/>
  <c r="BA7" i="10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G7" i="15" s="1"/>
  <c r="D7" i="14"/>
  <c r="B7" i="14"/>
  <c r="A7" i="14"/>
  <c r="A2" i="15" l="1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<sst xmlns="http://schemas.openxmlformats.org/spreadsheetml/2006/main" count="1176" uniqueCount="341">
  <si>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</si>
  <si>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</si>
  <si>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</si>
  <si>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</si>
  <si>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</si>
  <si>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</si>
  <si>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</si>
  <si>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</si>
  <si>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</si>
  <si>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</si>
  <si>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</si>
  <si>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</si>
  <si>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</si>
  <si>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</si>
  <si>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</si>
  <si>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</si>
  <si>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</si>
  <si>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</si>
  <si>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</si>
  <si>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</si>
  <si>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</si>
  <si>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</si>
  <si>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</si>
  <si>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</si>
  <si>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</si>
  <si>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</si>
  <si>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</si>
  <si>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</si>
  <si>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</si>
  <si>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</si>
  <si>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</si>
  <si>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</si>
  <si>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</si>
  <si>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</si>
  <si>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</si>
  <si>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</si>
  <si>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</si>
  <si>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</si>
  <si>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</si>
  <si>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</si>
  <si>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</si>
  <si>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</si>
  <si>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</si>
  <si>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</si>
  <si>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</si>
  <si>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</si>
  <si>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</si>
  <si>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</si>
  <si>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</si>
  <si>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</si>
  <si>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</si>
  <si>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</si>
  <si>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</si>
  <si>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</si>
  <si>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</si>
  <si>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</si>
  <si>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</si>
  <si>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</si>
  <si>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</si>
  <si>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</si>
  <si>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</si>
  <si>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</si>
  <si>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</si>
  <si>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</si>
  <si>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</si>
  <si>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</si>
  <si>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</si>
  <si>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</si>
  <si>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</si>
  <si>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</si>
  <si>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</si>
  <si>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</si>
  <si>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</si>
  <si>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</si>
  <si>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</si>
  <si>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</si>
  <si>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</si>
  <si>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</si>
  <si>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</si>
  <si>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</si>
  <si>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</si>
  <si>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</si>
  <si>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</si>
  <si>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</si>
  <si>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</si>
  <si>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</si>
  <si>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</si>
  <si>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</si>
  <si>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</si>
  <si>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</si>
  <si>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</si>
  <si>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</si>
  <si>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</si>
  <si>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</si>
  <si>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</si>
  <si>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</si>
  <si>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</si>
  <si>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</si>
  <si>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</si>
  <si>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</si>
  <si>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</si>
  <si>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</si>
  <si>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</si>
  <si>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</si>
  <si>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</si>
  <si>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</si>
  <si>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</si>
  <si>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</si>
  <si>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</si>
  <si>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</si>
  <si>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</si>
  <si>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</si>
  <si>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</si>
  <si>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</si>
  <si>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</si>
  <si>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</si>
  <si>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</si>
  <si>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</si>
  <si>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</si>
  <si>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</si>
  <si>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</si>
  <si>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</si>
  <si>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</si>
  <si>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</si>
  <si>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</si>
  <si>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</si>
  <si>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</si>
  <si>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</si>
  <si>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</si>
  <si>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</si>
  <si>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</si>
  <si>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</si>
  <si>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</si>
  <si>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</si>
  <si>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</si>
  <si>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</si>
  <si>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</si>
  <si>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</si>
  <si>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</si>
  <si>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</si>
  <si>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</si>
  <si>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</si>
  <si>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</si>
  <si>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</si>
  <si>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</si>
  <si>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</si>
  <si>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</si>
  <si>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</si>
  <si>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</si>
  <si>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</si>
  <si>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</si>
  <si>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</si>
  <si>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</si>
  <si>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</si>
  <si>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</si>
  <si>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</si>
  <si>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</si>
  <si>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</si>
  <si>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</si>
  <si>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</si>
  <si>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</si>
  <si>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</si>
  <si>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</si>
  <si>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</si>
  <si>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</si>
  <si>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</si>
  <si>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</si>
  <si>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</si>
  <si>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</si>
  <si>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</si>
  <si>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</si>
  <si>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</si>
  <si>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</si>
  <si>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</si>
  <si>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</si>
  <si>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</si>
  <si>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</si>
  <si>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</si>
  <si>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</si>
  <si>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</si>
  <si>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</si>
  <si>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</si>
  <si>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</si>
  <si>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</si>
  <si>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</si>
  <si>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</si>
  <si>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</si>
  <si>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</si>
  <si>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</si>
  <si>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</si>
  <si>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</si>
  <si>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</si>
  <si>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</si>
  <si>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</si>
  <si>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</si>
  <si>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</si>
  <si>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</si>
  <si>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</si>
  <si>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</si>
  <si>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</si>
  <si>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</si>
  <si>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</si>
  <si>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</si>
  <si>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</si>
  <si>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</si>
  <si>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</si>
  <si>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</si>
  <si>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</si>
  <si>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</si>
  <si>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</si>
  <si>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</si>
  <si>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</si>
  <si>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</si>
  <si>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</si>
  <si>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</si>
  <si>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</si>
  <si>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</si>
  <si>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</si>
  <si>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</si>
  <si>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</si>
  <si>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</si>
  <si>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</si>
  <si>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</si>
  <si>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</si>
  <si>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</si>
  <si>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</si>
  <si>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</si>
  <si>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</si>
  <si>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</si>
  <si>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</si>
  <si>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</si>
  <si>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</si>
  <si>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</si>
  <si>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</si>
  <si>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</si>
  <si>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</si>
  <si>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</si>
  <si>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</si>
  <si>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</si>
  <si>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</si>
  <si>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</si>
  <si>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</si>
  <si>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</si>
  <si>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</si>
  <si>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</si>
  <si>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</si>
  <si>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</si>
  <si>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</si>
  <si>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</si>
  <si>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</si>
  <si>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</si>
  <si>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</si>
  <si>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</si>
  <si>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</si>
  <si>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</si>
  <si>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</si>
  <si>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</si>
  <si>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</si>
  <si>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</si>
  <si>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</si>
  <si>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</si>
  <si>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</si>
  <si>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</si>
  <si>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</si>
  <si>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</si>
  <si>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</si>
  <si>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</si>
  <si>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</si>
  <si>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</si>
  <si>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</si>
  <si>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</si>
  <si>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</si>
  <si>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</si>
  <si>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</si>
  <si>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</si>
  <si>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</si>
  <si>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</si>
  <si>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</si>
  <si>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</si>
  <si>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</si>
  <si>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</si>
  <si>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</si>
  <si>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</si>
  <si>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</si>
  <si>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</si>
  <si>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</si>
  <si>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</si>
  <si>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</si>
  <si>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</si>
  <si>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</si>
  <si>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</si>
  <si>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</si>
  <si>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</si>
  <si>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</si>
  <si>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</si>
  <si>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</si>
  <si>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</si>
  <si>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</si>
  <si>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</si>
  <si>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</si>
  <si>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</si>
  <si>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</si>
  <si>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</si>
  <si>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</si>
  <si>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</si>
  <si>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</si>
  <si>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</si>
  <si>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</si>
  <si>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</si>
  <si>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</si>
  <si>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</si>
  <si>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</si>
  <si>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</si>
  <si>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</si>
  <si>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</si>
  <si>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</si>
  <si>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</si>
  <si>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</si>
  <si>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</si>
  <si>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</si>
  <si>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</si>
  <si>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</si>
  <si>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</si>
  <si>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</si>
  <si>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</si>
  <si>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</si>
  <si>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</si>
  <si>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</si>
  <si>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</si>
  <si>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</si>
  <si>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</si>
  <si>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</si>
  <si>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</si>
  <si>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</si>
  <si>
    <t>이소정</t>
    <phoneticPr fontId="1" type="noConversion"/>
  </si>
  <si>
    <t>의정부 골드프라자</t>
  </si>
  <si>
    <t>이만희</t>
  </si>
  <si>
    <t>B1</t>
  </si>
  <si>
    <t>B2</t>
  </si>
  <si>
    <t>X</t>
  </si>
  <si>
    <t>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</si>
</sst>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의정부 골드프라자 ) _이만희소장</v>
      </c>
      <c r="C2" s="39" t="str">
        <f>"(와이드) 제작변환 자료( "&amp;B1&amp;" ) _"&amp;소장 &amp;"소장"</f>
        <v>(와이드) 제작변환 자료( 의정부 골드프라자 ) _이만희소장</v>
      </c>
      <c r="D2" s="154" t="s">
        <v>312</v>
      </c>
      <c r="E2" s="150" t="str">
        <f>"(SO와이드) 실측서 ( " &amp; B1 &amp; " ) _"&amp;소장 &amp;"소장"</f>
        <v>(SO와이드) 실측서 ( 의정부 골드프라자 ) _이만희소장</v>
      </c>
      <c r="F2" s="150" t="str">
        <f>"(SO와이드) 제작변환 ( " &amp; B1 &amp; " ) _"&amp;소장 &amp;"소장"</f>
        <v>(SO와이드) 제작변환 ( 의정부 골드프라자 ) _이만희소장</v>
      </c>
      <c r="G2" s="152" t="s">
        <v>314</v>
      </c>
      <c r="H2" s="147" t="str">
        <f>"(4CO와이드) 실측서 ( " &amp; B1 &amp; " ) _"&amp;소장 &amp;"소장"</f>
        <v>(4CO와이드) 실측서 ( 의정부 골드프라자 ) _이만희소장</v>
      </c>
      <c r="I2" s="147" t="str">
        <f>"(4CO와이드) 제작변환 ( " &amp; B1 &amp; " ) _"&amp;소장 &amp;"소장"</f>
        <v>(4CO와이드) 제작변환 ( 의정부 골드프라자 ) _이만희소장</v>
      </c>
      <c r="J2" s="152" t="s">
        <v>316</v>
      </c>
      <c r="K2" s="153" t="str">
        <f>"(2UP) 실측서 ( " &amp; B1 &amp; " ) _"&amp;소장 &amp;"소장"</f>
        <v>(2UP) 실측서 ( 의정부 골드프라자 ) _이만희소장</v>
      </c>
      <c r="L2" s="153" t="str">
        <f>"(2UP) 제작변환 ( " &amp; B1 &amp; " ) _"&amp;소장 &amp;"소장"</f>
        <v>(2UP) 제작변환 ( 의정부 골드프라자 ) _이만희소장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의정부 골드프라자 ) _이만희소장</v>
      </c>
      <c r="C3" s="39" t="str">
        <f>"(멍텅구리) 제작변환 자료( "&amp;B1&amp;" ) _"&amp;소장 &amp;"소장"</f>
        <v>(멍텅구리) 제작변환 자료( 의정부 골드프라자 ) _이만희소장</v>
      </c>
      <c r="D3" s="154" t="s">
        <v>313</v>
      </c>
      <c r="E3" s="150" t="str">
        <f>"(SO멍텅구리) 실측서 ( " &amp; B1 &amp; " ) _"&amp;소장 &amp;"소장"</f>
        <v>(SO멍텅구리) 실측서 ( 의정부 골드프라자 ) _이만희소장</v>
      </c>
      <c r="F3" s="150" t="str">
        <f>"(SO멍텅구리) 제작변환 ( " &amp; B1 &amp; " ) _"&amp;소장 &amp;"소장"</f>
        <v>(SO멍텅구리) 제작변환 ( 의정부 골드프라자 ) _이만희소장</v>
      </c>
      <c r="G3" s="152" t="s">
        <v>315</v>
      </c>
      <c r="H3" s="147" t="str">
        <f>"(4CO멍텅구리) 실측서 ( " &amp; B1 &amp; " ) _"&amp;소장 &amp;"소장"</f>
        <v>(4CO멍텅구리) 실측서 ( 의정부 골드프라자 ) _이만희소장</v>
      </c>
      <c r="I3" s="147" t="str">
        <f>"(4CO멍텅구리) 제작변환 ( " &amp; B1 &amp; " ) _"&amp;소장 &amp;"소장"</f>
        <v>(4CO멍텅구리) 제작변환 ( 의정부 골드프라자 ) _이만희소장</v>
      </c>
      <c r="J3" s="152" t="s">
        <v>317</v>
      </c>
      <c r="K3" s="153" t="str">
        <f>"(3UP) 실측서 ( " &amp; B1 &amp; " ) _"&amp;소장 &amp;"소장"</f>
        <v>(3UP) 실측서 ( 의정부 골드프라자 ) _이만희소장</v>
      </c>
      <c r="L3" s="153" t="str">
        <f>"(3UP) 제작변환 ( " &amp; B1 &amp; " ) _"&amp;소장 &amp;"소장"</f>
        <v>(3UP) 제작변환 ( 의정부 골드프라자 ) _이만희소장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의정부 골드프라자 ) _이만희소장</v>
      </c>
      <c r="C4" s="39" t="str">
        <f>"(쪽쟘) 제작변환 자료( "&amp;B1&amp;" ) _"&amp;소장 &amp;"소장"</f>
        <v>(쪽쟘) 제작변환 자료( 의정부 골드프라자 ) _이만희소장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318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(3), R - (0),  기둥차감 - (0), A + (1)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(3), R - (0),  기둥차감 - (0),  A + (1)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(3),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(3), R - (0),  기둥차감 - (0),  A + (1)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(3), R - (0),  기둥차감 - (0), A + (1)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(3), R - (0),  기둥차감 - (0), A + (1)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(3), R - (0),  기둥차감 - (0), A + (1)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-(3),  C + (0),   U + (0), OP - (3), R - (0),  기둥차감 - (0), A + (1)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-(3),  C + (0),   U + (0), OP - (2), R - (0),  기둥차감 - (0), A + (1)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333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의정부 골드프라자</v>
      </c>
      <c r="E2" s="3" t="str">
        <f>정보!B6</f>
        <v>이만희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45677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이소정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334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abSelected="1" zoomScale="85" zoomScaleNormal="85" workbookViewId="0">
      <selection activeCell="A10" sqref="A10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4" t="str">
        <f>정보!B2</f>
        <v>(와이드) 실측서 ( 의정부 골드프라자 ) _이만희소장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3"/>
      <c r="Z2" s="173"/>
      <c r="AA2" s="173"/>
      <c r="AB2" s="173"/>
      <c r="AC2" s="173"/>
      <c r="AD2" s="173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3"/>
      <c r="Z3" s="173"/>
      <c r="AA3" s="173"/>
      <c r="AB3" s="173"/>
      <c r="AC3" s="173"/>
      <c r="AD3" s="173"/>
      <c r="AE3" s="34"/>
      <c r="AF3" s="34"/>
      <c r="AG3" s="34"/>
      <c r="AH3" s="34"/>
      <c r="AI3" s="34"/>
      <c r="AJ3" s="34"/>
    </row>
    <row r="4" spans="1:45" ht="33" customHeight="1" x14ac:dyDescent="0.3">
      <c r="A4" s="126" t="str">
        <f>"현장명 : " &amp; 정보!B2 &amp; ",   (재질) : " &amp; 정보!B8</f>
        <v>현장명 : (와이드) 실측서 ( 의정부 골드프라자 ) _이만희소장,   (재질) : HL 1.2T</v>
      </c>
      <c r="B4" s="2"/>
      <c r="C4" s="2"/>
      <c r="D4" s="2"/>
      <c r="E4" s="2"/>
      <c r="F4" s="2"/>
      <c r="G4" s="2"/>
      <c r="H4" s="2"/>
      <c r="I4" s="2"/>
      <c r="J4" s="35"/>
      <c r="K4" s="35"/>
      <c r="L4" s="163" t="s">
        <v>97</v>
      </c>
      <c r="M4" s="163"/>
      <c r="N4" s="34"/>
      <c r="O4" s="34"/>
      <c r="P4" s="34"/>
      <c r="Q4" s="34"/>
      <c r="R4" s="34"/>
      <c r="S4" s="34"/>
      <c r="T4" s="34"/>
      <c r="U4" s="34"/>
      <c r="V4" s="171"/>
      <c r="W4" s="171"/>
      <c r="X4" s="171"/>
      <c r="Y4" s="171"/>
      <c r="Z4" s="171"/>
      <c r="AA4" s="171"/>
      <c r="AB4" s="171"/>
      <c r="AC4" s="171"/>
      <c r="AD4" s="172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4</v>
      </c>
      <c r="C7" s="4">
        <v>320</v>
      </c>
      <c r="D7" s="4">
        <v>320</v>
      </c>
      <c r="E7" s="4">
        <v>898</v>
      </c>
      <c r="F7" s="4">
        <v>1040</v>
      </c>
      <c r="G7" s="4">
        <v>402</v>
      </c>
      <c r="H7" s="4">
        <v>402</v>
      </c>
      <c r="I7" s="4">
        <v>420</v>
      </c>
      <c r="J7" s="4">
        <v>420</v>
      </c>
      <c r="K7" s="13">
        <v>33</v>
      </c>
      <c r="L7" s="13">
        <v>33</v>
      </c>
      <c r="M7" s="4">
        <v>13</v>
      </c>
      <c r="N7" s="4">
        <v>13</v>
      </c>
      <c r="O7" s="4">
        <v>0</v>
      </c>
      <c r="P7" s="4">
        <v>0</v>
      </c>
      <c r="Q7" s="4">
        <v>2094</v>
      </c>
      <c r="R7" s="4">
        <v>2091</v>
      </c>
      <c r="S7" s="4">
        <v>2088</v>
      </c>
      <c r="T7" s="4">
        <v>2089</v>
      </c>
      <c r="U7" s="4">
        <v>31</v>
      </c>
      <c r="V7" s="4">
        <v>2</v>
      </c>
      <c r="W7" s="4">
        <v>30</v>
      </c>
      <c r="X7" s="4">
        <v>25</v>
      </c>
      <c r="Y7" s="4">
        <v>16</v>
      </c>
      <c r="Z7" s="4">
        <v>14</v>
      </c>
      <c r="AA7" s="4">
        <v>14</v>
      </c>
      <c r="AB7" s="4">
        <v>10</v>
      </c>
      <c r="AC7" s="4"/>
      <c r="AD7" s="4"/>
      <c r="AE7" s="4"/>
      <c r="AF7" s="4"/>
      <c r="AG7" s="4">
        <v>100</v>
      </c>
      <c r="AH7" s="4"/>
      <c r="AI7" s="4"/>
      <c r="AJ7" s="4"/>
      <c r="AK7" s="53">
        <v>4</v>
      </c>
      <c r="AL7" s="3">
        <f>Y7+$AK7</f>
        <v>20</v>
      </c>
      <c r="AM7" s="3">
        <f>Z7+$AK7</f>
        <v>18</v>
      </c>
      <c r="AN7" s="3">
        <f>AA7+$AK7</f>
        <v>18</v>
      </c>
      <c r="AO7" s="3">
        <f>AB7+$AK7</f>
        <v>14</v>
      </c>
      <c r="AP7" s="3">
        <f>G7-$AK7</f>
        <v>398</v>
      </c>
      <c r="AQ7" s="3">
        <f>H7-$AK7</f>
        <v>398</v>
      </c>
      <c r="AR7" s="3">
        <f>I7-$AK7</f>
        <v>416</v>
      </c>
      <c r="AS7" s="3">
        <f>J7-$AK7</f>
        <v>416</v>
      </c>
    </row>
    <row r="8" spans="1:45" ht="23.25" customHeight="1" x14ac:dyDescent="0.3">
      <c r="A8" s="127"/>
      <c r="B8" s="4">
        <v>3</v>
      </c>
      <c r="C8" s="4">
        <v>320</v>
      </c>
      <c r="D8" s="4">
        <v>320</v>
      </c>
      <c r="E8" s="4">
        <v>900</v>
      </c>
      <c r="F8" s="4">
        <v>1042</v>
      </c>
      <c r="G8" s="4">
        <v>408</v>
      </c>
      <c r="H8" s="4">
        <v>408</v>
      </c>
      <c r="I8" s="4">
        <v>425</v>
      </c>
      <c r="J8" s="4">
        <v>425</v>
      </c>
      <c r="K8" s="13">
        <v>40</v>
      </c>
      <c r="L8" s="13">
        <v>40</v>
      </c>
      <c r="M8" s="4">
        <v>12</v>
      </c>
      <c r="N8" s="4">
        <v>12</v>
      </c>
      <c r="O8" s="4">
        <v>6</v>
      </c>
      <c r="P8" s="4">
        <v>20</v>
      </c>
      <c r="Q8" s="4">
        <v>2088</v>
      </c>
      <c r="R8" s="4">
        <v>2090</v>
      </c>
      <c r="S8" s="4">
        <v>2085</v>
      </c>
      <c r="T8" s="4">
        <v>2089</v>
      </c>
      <c r="U8" s="4">
        <v>45</v>
      </c>
      <c r="V8" s="4">
        <v>4</v>
      </c>
      <c r="W8" s="4">
        <v>30</v>
      </c>
      <c r="X8" s="4">
        <v>25</v>
      </c>
      <c r="Y8" s="4">
        <v>15</v>
      </c>
      <c r="Z8" s="4">
        <v>15</v>
      </c>
      <c r="AA8" s="4">
        <v>15</v>
      </c>
      <c r="AB8" s="4">
        <v>11</v>
      </c>
      <c r="AC8" s="4"/>
      <c r="AD8" s="4"/>
      <c r="AE8" s="4"/>
      <c r="AF8" s="4"/>
      <c r="AG8" s="4">
        <v>100</v>
      </c>
      <c r="AH8" s="4">
        <v>15</v>
      </c>
      <c r="AI8" s="4">
        <v>10</v>
      </c>
      <c r="AJ8" s="4">
        <v>10</v>
      </c>
      <c r="AK8" s="53">
        <v>2</v>
      </c>
      <c r="AL8" s="3">
        <f t="shared" ref="AL8:AL9" si="0">Y8+$AK8</f>
        <v>17</v>
      </c>
      <c r="AM8" s="3">
        <f>Z8+$AK8</f>
        <v>17</v>
      </c>
      <c r="AN8" s="3">
        <f>AA8+$AK8</f>
        <v>17</v>
      </c>
      <c r="AO8" s="3">
        <f>AB8+$AK8</f>
        <v>13</v>
      </c>
      <c r="AP8" s="3">
        <f t="shared" ref="AP8:AP9" si="1">G8-$AK8</f>
        <v>406</v>
      </c>
      <c r="AQ8" s="3">
        <f>H8-$AK8</f>
        <v>406</v>
      </c>
      <c r="AR8" s="3">
        <f>I8-$AK8</f>
        <v>423</v>
      </c>
      <c r="AS8" s="3">
        <f>J8-$AK8</f>
        <v>423</v>
      </c>
    </row>
    <row r="9" spans="1:45" ht="23.25" customHeight="1" x14ac:dyDescent="0.3">
      <c r="A9" s="127"/>
      <c r="B9" s="4">
        <v>2</v>
      </c>
      <c r="C9" s="4">
        <v>320</v>
      </c>
      <c r="D9" s="4">
        <v>320</v>
      </c>
      <c r="E9" s="4">
        <v>900</v>
      </c>
      <c r="F9" s="4">
        <v>1034</v>
      </c>
      <c r="G9" s="4">
        <v>383</v>
      </c>
      <c r="H9" s="4">
        <v>383</v>
      </c>
      <c r="I9" s="4">
        <v>399</v>
      </c>
      <c r="J9" s="4">
        <v>399</v>
      </c>
      <c r="K9" s="13">
        <v>40</v>
      </c>
      <c r="L9" s="13">
        <v>40</v>
      </c>
      <c r="M9" s="4">
        <v>11</v>
      </c>
      <c r="N9" s="4">
        <v>10</v>
      </c>
      <c r="O9" s="4">
        <v>8</v>
      </c>
      <c r="P9" s="4">
        <v>6</v>
      </c>
      <c r="Q9" s="4">
        <v>2102</v>
      </c>
      <c r="R9" s="4">
        <v>2090</v>
      </c>
      <c r="S9" s="4">
        <v>2103</v>
      </c>
      <c r="T9" s="4">
        <v>2087</v>
      </c>
      <c r="U9" s="4">
        <v>45</v>
      </c>
      <c r="V9" s="4">
        <v>5</v>
      </c>
      <c r="W9" s="4">
        <v>30</v>
      </c>
      <c r="X9" s="4">
        <v>25</v>
      </c>
      <c r="Y9" s="4">
        <v>14</v>
      </c>
      <c r="Z9" s="4">
        <v>12</v>
      </c>
      <c r="AA9" s="4">
        <v>14</v>
      </c>
      <c r="AB9" s="4">
        <v>13</v>
      </c>
      <c r="AC9" s="4"/>
      <c r="AD9" s="4"/>
      <c r="AE9" s="4"/>
      <c r="AF9" s="4"/>
      <c r="AG9" s="4">
        <v>100</v>
      </c>
      <c r="AH9" s="4">
        <v>15</v>
      </c>
      <c r="AI9" s="4">
        <v>10</v>
      </c>
      <c r="AJ9" s="4">
        <v>10</v>
      </c>
      <c r="AK9" s="53">
        <v>2</v>
      </c>
      <c r="AL9" s="3">
        <f t="shared" si="0"/>
        <v>16</v>
      </c>
      <c r="AM9" s="3">
        <f t="shared" ref="AM9:AM13" si="2">Z9+$AK9</f>
        <v>14</v>
      </c>
      <c r="AN9" s="3">
        <f t="shared" ref="AN9:AN13" si="3">AA9+$AK9</f>
        <v>16</v>
      </c>
      <c r="AO9" s="3">
        <f t="shared" ref="AO9:AO13" si="4">AB9+$AK9</f>
        <v>15</v>
      </c>
      <c r="AP9" s="3">
        <f t="shared" si="1"/>
        <v>381</v>
      </c>
      <c r="AQ9" s="3">
        <f t="shared" ref="AQ9:AQ13" si="5">H9-$AK9</f>
        <v>381</v>
      </c>
      <c r="AR9" s="3">
        <f t="shared" ref="AR9:AR13" si="6">I9-$AK9</f>
        <v>397</v>
      </c>
      <c r="AS9" s="3">
        <f t="shared" ref="AS9:AS13" si="7">J9-$AK9</f>
        <v>397</v>
      </c>
    </row>
    <row r="10" spans="1:45" ht="23.25" customHeight="1" x14ac:dyDescent="0.3">
      <c r="A10" s="127"/>
      <c r="B10" s="4">
        <v>1</v>
      </c>
      <c r="C10" s="4">
        <v>320</v>
      </c>
      <c r="D10" s="4">
        <v>320</v>
      </c>
      <c r="E10" s="4">
        <v>900</v>
      </c>
      <c r="F10" s="4">
        <v>1039</v>
      </c>
      <c r="G10" s="4">
        <v>398</v>
      </c>
      <c r="H10" s="4">
        <v>398</v>
      </c>
      <c r="I10" s="4">
        <v>416</v>
      </c>
      <c r="J10" s="4">
        <v>416</v>
      </c>
      <c r="K10" s="13">
        <v>40</v>
      </c>
      <c r="L10" s="13">
        <v>40</v>
      </c>
      <c r="M10" s="4">
        <v>12</v>
      </c>
      <c r="N10" s="4">
        <v>11</v>
      </c>
      <c r="O10" s="4">
        <v>11</v>
      </c>
      <c r="P10" s="4">
        <v>12</v>
      </c>
      <c r="Q10" s="4">
        <v>2088</v>
      </c>
      <c r="R10" s="4">
        <v>2086</v>
      </c>
      <c r="S10" s="4">
        <v>2089</v>
      </c>
      <c r="T10" s="4">
        <v>2090</v>
      </c>
      <c r="U10" s="4">
        <v>45</v>
      </c>
      <c r="V10" s="4">
        <v>5</v>
      </c>
      <c r="W10" s="4">
        <v>30</v>
      </c>
      <c r="X10" s="4">
        <v>25</v>
      </c>
      <c r="Y10" s="4">
        <v>14</v>
      </c>
      <c r="Z10" s="4">
        <v>14</v>
      </c>
      <c r="AA10" s="4">
        <v>14</v>
      </c>
      <c r="AB10" s="4">
        <v>11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10</v>
      </c>
      <c r="AK10" s="53">
        <v>1</v>
      </c>
      <c r="AL10" s="3">
        <f t="shared" ref="AL10:AL13" si="8">Y10+$AK10</f>
        <v>15</v>
      </c>
      <c r="AM10" s="3">
        <f t="shared" si="2"/>
        <v>15</v>
      </c>
      <c r="AN10" s="3">
        <f t="shared" si="3"/>
        <v>15</v>
      </c>
      <c r="AO10" s="3">
        <f t="shared" si="4"/>
        <v>12</v>
      </c>
      <c r="AP10" s="3">
        <f t="shared" ref="AP10:AP13" si="9">G10-$AK10</f>
        <v>397</v>
      </c>
      <c r="AQ10" s="3">
        <f t="shared" si="5"/>
        <v>397</v>
      </c>
      <c r="AR10" s="3">
        <f t="shared" si="6"/>
        <v>415</v>
      </c>
      <c r="AS10" s="3">
        <f t="shared" si="7"/>
        <v>415</v>
      </c>
    </row>
    <row r="11" spans="1:45" ht="23.25" customHeight="1" x14ac:dyDescent="0.3">
      <c r="A11" s="127"/>
      <c r="B11" s="4" t="s">
        <v>337</v>
      </c>
      <c r="C11" s="4">
        <v>360</v>
      </c>
      <c r="D11" s="4">
        <v>350</v>
      </c>
      <c r="E11" s="4">
        <v>898</v>
      </c>
      <c r="F11" s="4">
        <v>1045</v>
      </c>
      <c r="G11" s="4">
        <v>415</v>
      </c>
      <c r="H11" s="4">
        <v>415</v>
      </c>
      <c r="I11" s="4">
        <v>432</v>
      </c>
      <c r="J11" s="4">
        <v>432</v>
      </c>
      <c r="K11" s="13">
        <v>40</v>
      </c>
      <c r="L11" s="13">
        <v>40</v>
      </c>
      <c r="M11" s="4">
        <v>9</v>
      </c>
      <c r="N11" s="4">
        <v>10</v>
      </c>
      <c r="O11" s="4">
        <v>6</v>
      </c>
      <c r="P11" s="4">
        <v>11</v>
      </c>
      <c r="Q11" s="4">
        <v>2054</v>
      </c>
      <c r="R11" s="4">
        <v>2053</v>
      </c>
      <c r="S11" s="4">
        <v>2068</v>
      </c>
      <c r="T11" s="4">
        <v>2060</v>
      </c>
      <c r="U11" s="4">
        <v>50</v>
      </c>
      <c r="V11" s="4">
        <v>5</v>
      </c>
      <c r="W11" s="4">
        <v>30</v>
      </c>
      <c r="X11" s="4">
        <v>25</v>
      </c>
      <c r="Y11" s="4">
        <v>16</v>
      </c>
      <c r="Z11" s="4">
        <v>10</v>
      </c>
      <c r="AA11" s="4">
        <v>16</v>
      </c>
      <c r="AB11" s="4">
        <v>11</v>
      </c>
      <c r="AC11" s="4"/>
      <c r="AD11" s="4"/>
      <c r="AE11" s="4"/>
      <c r="AF11" s="4"/>
      <c r="AG11" s="4">
        <v>100</v>
      </c>
      <c r="AH11" s="4">
        <v>15</v>
      </c>
      <c r="AI11" s="4">
        <v>10</v>
      </c>
      <c r="AJ11" s="4">
        <v>10</v>
      </c>
      <c r="AK11" s="53"/>
      <c r="AL11" s="3">
        <f t="shared" si="8"/>
        <v>16</v>
      </c>
      <c r="AM11" s="3">
        <f t="shared" si="2"/>
        <v>10</v>
      </c>
      <c r="AN11" s="3">
        <f t="shared" si="3"/>
        <v>16</v>
      </c>
      <c r="AO11" s="3">
        <f t="shared" si="4"/>
        <v>11</v>
      </c>
      <c r="AP11" s="3">
        <f t="shared" si="9"/>
        <v>415</v>
      </c>
      <c r="AQ11" s="3">
        <f t="shared" si="5"/>
        <v>415</v>
      </c>
      <c r="AR11" s="3">
        <f t="shared" si="6"/>
        <v>432</v>
      </c>
      <c r="AS11" s="3">
        <f t="shared" si="7"/>
        <v>432</v>
      </c>
    </row>
    <row r="12" spans="1:45" ht="23.25" customHeight="1" x14ac:dyDescent="0.3">
      <c r="A12" s="127"/>
      <c r="B12" s="4" t="s">
        <v>338</v>
      </c>
      <c r="C12" s="4">
        <v>325</v>
      </c>
      <c r="D12" s="4">
        <v>320</v>
      </c>
      <c r="E12" s="4">
        <v>900</v>
      </c>
      <c r="F12" s="4">
        <v>1043</v>
      </c>
      <c r="G12" s="4">
        <v>409</v>
      </c>
      <c r="H12" s="4">
        <v>409</v>
      </c>
      <c r="I12" s="4">
        <v>426</v>
      </c>
      <c r="J12" s="4">
        <v>426</v>
      </c>
      <c r="K12" s="13">
        <v>32</v>
      </c>
      <c r="L12" s="13">
        <v>31</v>
      </c>
      <c r="M12" s="4">
        <v>10</v>
      </c>
      <c r="N12" s="4">
        <v>10</v>
      </c>
      <c r="O12" s="4">
        <v>0</v>
      </c>
      <c r="P12" s="4">
        <v>0</v>
      </c>
      <c r="Q12" s="4">
        <v>2077</v>
      </c>
      <c r="R12" s="4">
        <v>2079</v>
      </c>
      <c r="S12" s="4">
        <v>2080</v>
      </c>
      <c r="T12" s="4">
        <v>2091</v>
      </c>
      <c r="U12" s="4" t="s">
        <v>339</v>
      </c>
      <c r="V12" s="4" t="s">
        <v>339</v>
      </c>
      <c r="W12" s="4">
        <v>30</v>
      </c>
      <c r="X12" s="4">
        <v>25</v>
      </c>
      <c r="Y12" s="4">
        <v>15</v>
      </c>
      <c r="Z12" s="4">
        <v>11</v>
      </c>
      <c r="AA12" s="4">
        <v>15</v>
      </c>
      <c r="AB12" s="4">
        <v>11</v>
      </c>
      <c r="AC12" s="4"/>
      <c r="AD12" s="4"/>
      <c r="AE12" s="4"/>
      <c r="AF12" s="4"/>
      <c r="AG12" s="4">
        <v>100</v>
      </c>
      <c r="AH12" s="4">
        <v>15</v>
      </c>
      <c r="AI12" s="4">
        <v>10</v>
      </c>
      <c r="AJ12" s="4">
        <v>10</v>
      </c>
      <c r="AK12" s="53">
        <v>1</v>
      </c>
      <c r="AL12" s="3">
        <f t="shared" si="8"/>
        <v>16</v>
      </c>
      <c r="AM12" s="3">
        <f t="shared" si="2"/>
        <v>12</v>
      </c>
      <c r="AN12" s="3">
        <f t="shared" si="3"/>
        <v>16</v>
      </c>
      <c r="AO12" s="3">
        <f t="shared" si="4"/>
        <v>12</v>
      </c>
      <c r="AP12" s="3">
        <f t="shared" si="9"/>
        <v>408</v>
      </c>
      <c r="AQ12" s="3">
        <f t="shared" si="5"/>
        <v>408</v>
      </c>
      <c r="AR12" s="3">
        <f t="shared" si="6"/>
        <v>425</v>
      </c>
      <c r="AS12" s="3">
        <f t="shared" si="7"/>
        <v>425</v>
      </c>
    </row>
    <row r="13" spans="1:45" ht="23.25" customHeight="1" x14ac:dyDescent="0.3">
      <c r="A13" s="127"/>
      <c r="B13" s="4" t="s">
        <v>340</v>
      </c>
      <c r="C13" s="4">
        <v>320</v>
      </c>
      <c r="D13" s="4">
        <v>320</v>
      </c>
      <c r="E13" s="4">
        <v>900</v>
      </c>
      <c r="F13" s="4">
        <v>1039</v>
      </c>
      <c r="G13" s="4">
        <v>392</v>
      </c>
      <c r="H13" s="4">
        <v>392</v>
      </c>
      <c r="I13" s="4">
        <v>410</v>
      </c>
      <c r="J13" s="4">
        <v>410</v>
      </c>
      <c r="K13" s="13">
        <v>40</v>
      </c>
      <c r="L13" s="13">
        <v>40</v>
      </c>
      <c r="M13" s="4">
        <v>11</v>
      </c>
      <c r="N13" s="4">
        <v>11</v>
      </c>
      <c r="O13" s="4">
        <v>9</v>
      </c>
      <c r="P13" s="4">
        <v>13</v>
      </c>
      <c r="Q13" s="4">
        <v>2107</v>
      </c>
      <c r="R13" s="4">
        <v>2090</v>
      </c>
      <c r="S13" s="4">
        <v>2099</v>
      </c>
      <c r="T13" s="4">
        <v>2090</v>
      </c>
      <c r="U13" s="4">
        <v>50</v>
      </c>
      <c r="V13" s="4">
        <v>5</v>
      </c>
      <c r="W13" s="4">
        <v>30</v>
      </c>
      <c r="X13" s="4">
        <v>25</v>
      </c>
      <c r="Y13" s="4">
        <v>16</v>
      </c>
      <c r="Z13" s="4">
        <v>17</v>
      </c>
      <c r="AA13" s="4">
        <v>14</v>
      </c>
      <c r="AB13" s="4">
        <v>14</v>
      </c>
      <c r="AC13" s="4"/>
      <c r="AD13" s="4"/>
      <c r="AE13" s="4"/>
      <c r="AF13" s="4"/>
      <c r="AG13" s="4">
        <v>100</v>
      </c>
      <c r="AH13" s="4"/>
      <c r="AI13" s="4"/>
      <c r="AJ13" s="4"/>
      <c r="AK13" s="53">
        <v>7</v>
      </c>
      <c r="AL13" s="3">
        <f t="shared" si="8"/>
        <v>23</v>
      </c>
      <c r="AM13" s="3">
        <f t="shared" si="2"/>
        <v>24</v>
      </c>
      <c r="AN13" s="3">
        <f t="shared" si="3"/>
        <v>21</v>
      </c>
      <c r="AO13" s="3">
        <f t="shared" si="4"/>
        <v>21</v>
      </c>
      <c r="AP13" s="3">
        <f t="shared" si="9"/>
        <v>385</v>
      </c>
      <c r="AQ13" s="3">
        <f t="shared" si="5"/>
        <v>385</v>
      </c>
      <c r="AR13" s="3">
        <f t="shared" si="6"/>
        <v>403</v>
      </c>
      <c r="AS13" s="3">
        <f t="shared" si="7"/>
        <v>403</v>
      </c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Y4:AD4"/>
    <mergeCell ref="Y2:AD3"/>
    <mergeCell ref="A1:X1"/>
    <mergeCell ref="L4:M4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3"/>
  <sheetViews>
    <sheetView zoomScale="85" zoomScaleNormal="85" workbookViewId="0">
      <selection activeCell="V23" sqref="V2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8" t="str">
        <f>정보!C2</f>
        <v>(와이드) 제작변환 자료( 의정부 골드프라자 ) _이만희소장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37"/>
      <c r="AT1" s="37"/>
    </row>
    <row r="2" spans="1:61" ht="29.25" customHeight="1" x14ac:dyDescent="0.3">
      <c r="A2" s="23" t="s">
        <v>96</v>
      </c>
      <c r="B2" s="105">
        <v>3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03" t="s">
        <v>113</v>
      </c>
      <c r="J2" s="204"/>
      <c r="K2" s="204"/>
      <c r="L2" s="204"/>
      <c r="M2" s="205">
        <v>1</v>
      </c>
      <c r="N2" s="205"/>
      <c r="O2" s="196" t="s">
        <v>89</v>
      </c>
      <c r="P2" s="216"/>
      <c r="Q2" s="217">
        <v>0</v>
      </c>
      <c r="R2" s="217"/>
      <c r="S2" s="165" t="s">
        <v>83</v>
      </c>
      <c r="T2" s="219"/>
      <c r="U2" s="219"/>
      <c r="V2" s="220">
        <v>0</v>
      </c>
      <c r="W2" s="220"/>
      <c r="X2" s="198" t="s">
        <v>205</v>
      </c>
      <c r="Y2" s="199"/>
      <c r="Z2" s="202">
        <f>정보!B5</f>
        <v>0</v>
      </c>
      <c r="AA2" s="202"/>
      <c r="AB2" s="202"/>
      <c r="AC2" s="202"/>
      <c r="AD2" s="202"/>
      <c r="AE2" s="202"/>
      <c r="AF2" s="202"/>
      <c r="AG2" s="202"/>
      <c r="AH2" s="200" t="s">
        <v>90</v>
      </c>
      <c r="AI2" s="201"/>
      <c r="AJ2" s="189">
        <v>3</v>
      </c>
      <c r="AK2" s="189"/>
      <c r="AL2" s="1"/>
      <c r="AM2" s="185" t="s">
        <v>229</v>
      </c>
      <c r="AN2" s="186"/>
      <c r="AO2" s="187">
        <v>0</v>
      </c>
      <c r="AP2" s="187"/>
      <c r="AQ2" s="1"/>
      <c r="AR2" s="1"/>
    </row>
    <row r="3" spans="1:61" ht="24.75" customHeight="1" x14ac:dyDescent="0.3">
      <c r="A3" s="28" t="str">
        <f>'와이드(실측)'!A3</f>
        <v>현장명 : 의정부 골드프라자,   (재질) : HL 1.2T</v>
      </c>
      <c r="B3" s="2"/>
      <c r="C3" s="2"/>
      <c r="D3" s="2"/>
      <c r="E3" s="2"/>
      <c r="F3" s="2"/>
      <c r="G3" s="2"/>
      <c r="H3" s="2"/>
      <c r="I3" s="196" t="s">
        <v>228</v>
      </c>
      <c r="J3" s="196"/>
      <c r="K3" s="196"/>
      <c r="L3" s="196"/>
      <c r="M3" s="206">
        <v>3</v>
      </c>
      <c r="N3" s="206"/>
      <c r="O3" s="216" t="s">
        <v>77</v>
      </c>
      <c r="P3" s="216"/>
      <c r="Q3" s="223">
        <v>0</v>
      </c>
      <c r="R3" s="223"/>
      <c r="S3" s="224" t="s">
        <v>227</v>
      </c>
      <c r="T3" s="224"/>
      <c r="U3" s="224"/>
      <c r="V3" s="225">
        <f>BI7</f>
        <v>0</v>
      </c>
      <c r="W3" s="225"/>
      <c r="X3" s="218" t="s">
        <v>78</v>
      </c>
      <c r="Y3" s="218"/>
      <c r="Z3" s="226">
        <v>1</v>
      </c>
      <c r="AA3" s="226"/>
      <c r="AC3" s="207" t="s">
        <v>305</v>
      </c>
      <c r="AD3" s="207"/>
      <c r="AE3" s="207">
        <f>'와이드(실측)'!Y7</f>
        <v>16</v>
      </c>
      <c r="AF3" s="207"/>
      <c r="AG3" s="3"/>
      <c r="AH3" s="197" t="s">
        <v>73</v>
      </c>
      <c r="AI3" s="197"/>
      <c r="AJ3" s="26">
        <v>4</v>
      </c>
      <c r="AK3" s="15" t="s">
        <v>74</v>
      </c>
      <c r="AL3" s="14">
        <v>4</v>
      </c>
      <c r="AM3" s="188" t="s">
        <v>230</v>
      </c>
      <c r="AN3" s="188"/>
      <c r="AO3" s="190" t="s">
        <v>319</v>
      </c>
      <c r="AP3" s="191"/>
      <c r="AQ3" s="194">
        <f>AU7</f>
        <v>10.149151798968262</v>
      </c>
      <c r="AR3" s="195"/>
      <c r="BI3" s="177" t="s">
        <v>253</v>
      </c>
    </row>
    <row r="4" spans="1:61" ht="33" customHeight="1" x14ac:dyDescent="0.3">
      <c r="A4" s="227" t="str">
        <f>정보!B10</f>
        <v>제작치수 반영 : MH + (2), JB/JD +(3 ),  늘어난치수K -(3),  C + (0),   U + (0), OP - (3), R - (0),  기둥차감 - (0), A + (1)</v>
      </c>
      <c r="B4" s="227"/>
      <c r="C4" s="227"/>
      <c r="D4" s="227"/>
      <c r="E4" s="227"/>
      <c r="F4" s="227"/>
      <c r="G4" s="227"/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  <c r="AB4" s="227"/>
      <c r="AC4" s="227"/>
      <c r="AD4" s="227"/>
      <c r="AE4" s="227"/>
      <c r="AF4" s="227"/>
      <c r="AG4" s="184">
        <f ca="1">TODAY()</f>
        <v>45677</v>
      </c>
      <c r="AH4" s="171"/>
      <c r="AI4" s="171"/>
      <c r="AJ4" s="9"/>
      <c r="AK4" s="183" t="s">
        <v>117</v>
      </c>
      <c r="AL4" s="183"/>
      <c r="AM4" s="162" t="s">
        <v>215</v>
      </c>
      <c r="AN4" s="162"/>
      <c r="AO4" s="84"/>
      <c r="AP4" s="192" t="s">
        <v>235</v>
      </c>
      <c r="AQ4" s="192"/>
      <c r="AR4" s="193"/>
      <c r="BI4" s="178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8" t="s">
        <v>105</v>
      </c>
      <c r="J5" s="208" t="s">
        <v>106</v>
      </c>
      <c r="K5" s="181" t="s">
        <v>107</v>
      </c>
      <c r="L5" s="181" t="s">
        <v>108</v>
      </c>
      <c r="M5" s="212" t="s">
        <v>71</v>
      </c>
      <c r="N5" s="212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0" t="s">
        <v>14</v>
      </c>
      <c r="V5" s="210" t="s">
        <v>15</v>
      </c>
      <c r="W5" s="211" t="s">
        <v>16</v>
      </c>
      <c r="X5" s="211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1" t="s">
        <v>79</v>
      </c>
      <c r="AD5" s="222"/>
      <c r="AE5" s="222"/>
      <c r="AF5" s="222"/>
      <c r="AG5" s="214" t="s">
        <v>91</v>
      </c>
      <c r="AH5" s="214" t="s">
        <v>92</v>
      </c>
      <c r="AI5" s="229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79" t="s">
        <v>199</v>
      </c>
      <c r="AP5" s="179" t="s">
        <v>204</v>
      </c>
      <c r="AQ5" s="179"/>
      <c r="AR5" s="179"/>
      <c r="AS5" s="177" t="s">
        <v>100</v>
      </c>
      <c r="AT5" s="177" t="s">
        <v>101</v>
      </c>
      <c r="AU5" s="178" t="s">
        <v>80</v>
      </c>
      <c r="AV5" s="231" t="s">
        <v>84</v>
      </c>
      <c r="AW5" s="234" t="s">
        <v>102</v>
      </c>
      <c r="AX5" s="233" t="s">
        <v>94</v>
      </c>
      <c r="AY5" s="233" t="s">
        <v>95</v>
      </c>
      <c r="AZ5" s="177" t="s">
        <v>93</v>
      </c>
      <c r="BC5" s="185" t="s">
        <v>28</v>
      </c>
      <c r="BD5" s="185"/>
      <c r="BE5" s="185" t="s">
        <v>29</v>
      </c>
      <c r="BF5" s="185"/>
      <c r="BG5" s="6" t="s">
        <v>50</v>
      </c>
      <c r="BH5" s="176" t="s">
        <v>104</v>
      </c>
      <c r="BI5" s="175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09"/>
      <c r="J6" s="209"/>
      <c r="K6" s="182"/>
      <c r="L6" s="182"/>
      <c r="M6" s="213"/>
      <c r="N6" s="213"/>
      <c r="O6" s="165"/>
      <c r="P6" s="165"/>
      <c r="Q6" s="165"/>
      <c r="R6" s="165"/>
      <c r="S6" s="165"/>
      <c r="T6" s="165"/>
      <c r="U6" s="210"/>
      <c r="V6" s="210"/>
      <c r="W6" s="211"/>
      <c r="X6" s="211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5"/>
      <c r="AH6" s="215"/>
      <c r="AI6" s="230"/>
      <c r="AJ6" s="166"/>
      <c r="AK6" s="165"/>
      <c r="AL6" s="165"/>
      <c r="AM6" s="74" t="s">
        <v>213</v>
      </c>
      <c r="AN6" s="74" t="s">
        <v>214</v>
      </c>
      <c r="AO6" s="180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232"/>
      <c r="AW6" s="235"/>
      <c r="AX6" s="233"/>
      <c r="AY6" s="233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6"/>
      <c r="BI6" s="175"/>
    </row>
    <row r="7" spans="1:61" ht="26.25" customHeight="1" x14ac:dyDescent="0.3">
      <c r="A7" s="31">
        <f>'와이드(실측)'!A7</f>
        <v>0</v>
      </c>
      <c r="B7" s="31" t="str">
        <f>'와이드(실측)'!B7&amp;"F"</f>
        <v>4F</v>
      </c>
      <c r="C7" s="31">
        <f>'와이드(실측)'!C7+와이드MH더함-IF(AND(소장="추영덕",Y7=0),1.2)</f>
        <v>322</v>
      </c>
      <c r="D7" s="31">
        <f>'와이드(실측)'!D7+와이드MH더함-IF(AND(소장="추영덕",Y7=0),1.2)</f>
        <v>322</v>
      </c>
      <c r="E7" s="135">
        <f>'와이드(실측)'!E7-와이드OP</f>
        <v>895</v>
      </c>
      <c r="F7" s="31">
        <f>'와이드(실측)'!F7-와이드R</f>
        <v>1040</v>
      </c>
      <c r="G7" s="50">
        <f>'와이드(실측)'!G7+와이드JBJD키움치수+IF(BI7=1,AC7,0)</f>
        <v>405</v>
      </c>
      <c r="H7" s="50">
        <f>'와이드(실측)'!H7+와이드JBJD키움치수+IF(BI7=1,AE7,0)</f>
        <v>405</v>
      </c>
      <c r="I7" s="50">
        <f>'와이드(실측)'!I7+MAX(AS7,AT7)+와이드JBJD키움치수+IF(BI7=1,AC7,0)</f>
        <v>431</v>
      </c>
      <c r="J7" s="50">
        <f>'와이드(실측)'!I7+MAX(AS7,AT7)+와이드JBJD키움치수+IF(BI7=1,AD7,0)-IF(와이드JB하부늘치=1,'와이드(실측)'!Y7-'와이드(실측)'!Z7,0)</f>
        <v>429</v>
      </c>
      <c r="K7" s="50">
        <f>'와이드(실측)'!J7+MAX(AS7,AT7)+와이드JBJD키움치수+IF(BI7=1,AE7,0)</f>
        <v>431</v>
      </c>
      <c r="L7" s="50">
        <f>'와이드(실측)'!J7+MAX(AS7,AT7)+와이드JBJD키움치수+IF(BI7=1,AF7,0)-IF(와이드JB하부늘치=1,'와이드(실측)'!AA7-'와이드(실측)'!AB7,0)</f>
        <v>427</v>
      </c>
      <c r="M7" s="31">
        <f t="shared" ref="M7:N7" si="0">IF(소장="손상민",0,O7-1.5)</f>
        <v>31.5</v>
      </c>
      <c r="N7" s="31">
        <f t="shared" si="0"/>
        <v>31.5</v>
      </c>
      <c r="O7" s="31">
        <f>IF(S7&lt;9,'와이드(실측)'!K7+1.2,IF(ISNUMBER('와이드(실측)'!K7),'와이드(실측)'!K7+와이드C값,0))</f>
        <v>33</v>
      </c>
      <c r="P7" s="31">
        <f>IF(T7&lt;9,'와이드(실측)'!L7+1.2,IF(ISNUMBER('와이드(실측)'!L7),'와이드(실측)'!L7+와이드C값,0))</f>
        <v>33</v>
      </c>
      <c r="Q7" s="32">
        <f>ROUNDUP(AV7,1)</f>
        <v>19.3</v>
      </c>
      <c r="R7" s="38">
        <f>ROUNDUP(AW7,1)</f>
        <v>19.3</v>
      </c>
      <c r="S7" s="31">
        <f>IF(ISNUMBER('와이드(실측)'!O7),'와이드(실측)'!O7+와이드제작!AS7+와이드A늘림,0)</f>
        <v>9</v>
      </c>
      <c r="T7" s="31">
        <f>IF(ISNUMBER('와이드(실측)'!P7),'와이드(실측)'!P7+와이드제작!AT7+와이드A늘림,0)</f>
        <v>9</v>
      </c>
      <c r="U7" s="31">
        <f>'와이드(실측)'!Q7-와이드기둥차감</f>
        <v>2094</v>
      </c>
      <c r="V7" s="31">
        <f>'와이드(실측)'!R7-와이드기둥차감</f>
        <v>2091</v>
      </c>
      <c r="W7" s="31">
        <f>'와이드(실측)'!S7-와이드기둥차감</f>
        <v>2088</v>
      </c>
      <c r="X7" s="31">
        <f>'와이드(실측)'!T7-와이드기둥차감</f>
        <v>2089</v>
      </c>
      <c r="Y7" s="31">
        <f>IF(소장="손상민",IF(ISNUMBER('와이드(실측)'!U7),'와이드(실측)'!U7+1.2,0),IF(ISNUMBER('와이드(실측)'!U7),'와이드(실측)'!U7+와이드U,0))</f>
        <v>31</v>
      </c>
      <c r="Z7" s="31">
        <f>IF(소장="손상민",MAX(Q7,R7)+3.2,IF(ISNUMBER('와이드(실측)'!V7),'와이드(실측)'!V7+1.5+와이드제작!Q7+1,0))</f>
        <v>23.8</v>
      </c>
      <c r="AA7" s="31">
        <f>'와이드(실측)'!W7+뒷날개치수더함</f>
        <v>30</v>
      </c>
      <c r="AB7" s="31">
        <f>'와이드(실측)'!X7+뒷날개치수더함</f>
        <v>25</v>
      </c>
      <c r="AC7" s="31">
        <f>'와이드(실측)'!Y7-와이드늘치</f>
        <v>13</v>
      </c>
      <c r="AD7" s="31">
        <f>IF(와이드JB하부늘치=1,AC7,'와이드(실측)'!Z7-와이드늘치)</f>
        <v>13</v>
      </c>
      <c r="AE7" s="31">
        <f>'와이드(실측)'!AA7-와이드늘치</f>
        <v>11</v>
      </c>
      <c r="AF7" s="31">
        <f>IF(와이드JB하부늘치=1,AE7,'와이드(실측)'!AB7-와이드늘치)</f>
        <v>11</v>
      </c>
      <c r="AG7" s="31">
        <f xml:space="preserve"> IF(소장&lt;&gt;"손상민",IF('와이드(실측)'!AC7&gt;0,'와이드(실측)'!AC7,C7-1.2),IF('와이드(실측)'!AC7&gt;0,'와이드(실측)'!AC7+1.2,C7) )</f>
        <v>320.8</v>
      </c>
      <c r="AH7" s="31">
        <f xml:space="preserve"> IF(소장&lt;&gt;"손상민",IF('와이드(실측)'!AD7&gt;0,'와이드(실측)'!AD7,D7-1.2),IF('와이드(실측)'!AD7&gt;0,'와이드(실측)'!AD7+1.2,D7))</f>
        <v>320.8</v>
      </c>
      <c r="AI7" s="51">
        <f>IF(Z7&gt;0,Z7-MAX(Q7,R7),0)</f>
        <v>4.5</v>
      </c>
      <c r="AJ7" s="31" t="str">
        <f t="shared" ref="AJ7" si="1">BA7&amp;"*"&amp;BB7</f>
        <v>1103*820</v>
      </c>
      <c r="AK7" s="31" t="str">
        <f t="shared" ref="AK7" si="2">BD7&amp;"*"&amp;BC7</f>
        <v>2414.8*506.2</v>
      </c>
      <c r="AL7" s="31" t="str">
        <f t="shared" ref="AL7" si="3">BF7&amp;"*"&amp;BE7</f>
        <v>2409.8*504.2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8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8</v>
      </c>
      <c r="AU7" s="20">
        <f>DEGREES(ATAN((F7-E7)/2/(H7)))</f>
        <v>10.149151798968262</v>
      </c>
      <c r="AV7" s="21">
        <f>ABS(G7-COS(RADIANS(AU7))*I7)</f>
        <v>19.255874705005624</v>
      </c>
      <c r="AW7" s="21">
        <f>ABS(H7-COS(RADIANS(AU7))*K7)</f>
        <v>19.255874705005624</v>
      </c>
      <c r="AX7" s="21">
        <f>'와이드(실측)'!M7+AS7</f>
        <v>21</v>
      </c>
      <c r="AY7" s="21">
        <f>'와이드(실측)'!N7+AS7</f>
        <v>21</v>
      </c>
      <c r="AZ7" s="20">
        <f>AV7-MAX(AX7,AY7)</f>
        <v>-1.744125294994376</v>
      </c>
      <c r="BA7" s="41">
        <f t="shared" ref="BA7:BA13" si="4">IF(소장&lt;&gt;"손상민",F7+IF(Y7+Z7&gt;0,N7+M7,0),F7)</f>
        <v>1103</v>
      </c>
      <c r="BB7" s="42">
        <f>MAX(C7,D7)+MAX(G7,H7)+AA7-1.2*$AJ$3+IF(BI7=0,MAX(AE7,AC7),0)+IF(Y7=0,1.2,0)+IF(Z7=0,1.2,0)+IF(소장&lt;&gt;"손상민", Y7+Z7,IF('와이드(실측)'!U7=0,0,2.4))</f>
        <v>820</v>
      </c>
      <c r="BC7" s="41">
        <f>S7+O7+MAX(I7,J7)+AB7-1.2*$AL$3+IF(BI7=0,MAX(AD7,AC7),0)+IF(S7=0,1.2,0)-IF(AR7=90,2.4,0)</f>
        <v>506.2</v>
      </c>
      <c r="BD7" s="41">
        <f>MAX(U7,V7)+AG7</f>
        <v>2414.8000000000002</v>
      </c>
      <c r="BE7" s="41">
        <f>T7+P7+MAX(K7,L7)+AB7-1.2*$AL$3+IF(BI7=0,MAX(AE7,AF7),0)+IF(T7=0,1.2,0)-IF(AR7=90,2.4,0)</f>
        <v>504.2</v>
      </c>
      <c r="BF7" s="41">
        <f>MAX(W7,X7)+AH7</f>
        <v>2409.8000000000002</v>
      </c>
      <c r="BG7" s="6">
        <f t="shared" ref="BG7" si="5">I7-G7-Q7</f>
        <v>6.6999999999999993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>
        <f>'와이드(실측)'!A8</f>
        <v>0</v>
      </c>
      <c r="B8" s="31" t="str">
        <f>'와이드(실측)'!B8&amp;"F"</f>
        <v>3F</v>
      </c>
      <c r="C8" s="31">
        <f>'와이드(실측)'!C8+와이드MH더함-IF(AND(소장="추영덕",Y8=0),1.2)</f>
        <v>322</v>
      </c>
      <c r="D8" s="31">
        <f>'와이드(실측)'!D8+와이드MH더함-IF(AND(소장="추영덕",Y8=0),1.2)</f>
        <v>322</v>
      </c>
      <c r="E8" s="135">
        <f>'와이드(실측)'!E8-와이드OP</f>
        <v>897</v>
      </c>
      <c r="F8" s="31">
        <f>'와이드(실측)'!F8-와이드R</f>
        <v>1042</v>
      </c>
      <c r="G8" s="50">
        <f>'와이드(실측)'!G8+와이드JBJD키움치수+IF(BI8=1,AC8,0)</f>
        <v>411</v>
      </c>
      <c r="H8" s="50">
        <f>'와이드(실측)'!H8+와이드JBJD키움치수+IF(BI8=1,AE8,0)</f>
        <v>411</v>
      </c>
      <c r="I8" s="50">
        <f>'와이드(실측)'!I8+MAX(AS8,AT8)+와이드JBJD키움치수+IF(BI8=1,AC8,0)</f>
        <v>430</v>
      </c>
      <c r="J8" s="50">
        <f>'와이드(실측)'!I8+MAX(AS8,AT8)+와이드JBJD키움치수+IF(BI8=1,AD8,0)-IF(와이드JB하부늘치=1,'와이드(실측)'!Y8-'와이드(실측)'!Z8,0)</f>
        <v>430</v>
      </c>
      <c r="K8" s="50">
        <f>'와이드(실측)'!J8+MAX(AS8,AT8)+와이드JBJD키움치수+IF(BI8=1,AE8,0)</f>
        <v>430</v>
      </c>
      <c r="L8" s="50">
        <f>'와이드(실측)'!J8+MAX(AS8,AT8)+와이드JBJD키움치수+IF(BI8=1,AF8,0)-IF(와이드JB하부늘치=1,'와이드(실측)'!AA8-'와이드(실측)'!AB8,0)</f>
        <v>426</v>
      </c>
      <c r="M8" s="31">
        <f t="shared" ref="M8:M13" si="6">IF(소장="손상민",0,O8-1.5)</f>
        <v>38.5</v>
      </c>
      <c r="N8" s="31">
        <f t="shared" ref="N8:N13" si="7">IF(소장="손상민",0,P8-1.5)</f>
        <v>38.5</v>
      </c>
      <c r="O8" s="31">
        <f>IF(S8&lt;9,'와이드(실측)'!K8+1.2,IF(ISNUMBER('와이드(실측)'!K8),'와이드(실측)'!K8+와이드C값,0))</f>
        <v>40</v>
      </c>
      <c r="P8" s="31">
        <f>IF(T8&lt;9,'와이드(실측)'!L8+1.2,IF(ISNUMBER('와이드(실측)'!L8),'와이드(실측)'!L8+와이드C값,0))</f>
        <v>40</v>
      </c>
      <c r="Q8" s="32">
        <f t="shared" ref="Q8:Q13" si="8">ROUNDUP(AV8,1)</f>
        <v>12.5</v>
      </c>
      <c r="R8" s="38">
        <f t="shared" ref="R8:R13" si="9">ROUNDUP(AW8,1)</f>
        <v>12.5</v>
      </c>
      <c r="S8" s="31">
        <f>IF(ISNUMBER('와이드(실측)'!O8),'와이드(실측)'!O8+와이드제작!AS8+와이드A늘림,0)</f>
        <v>9</v>
      </c>
      <c r="T8" s="31">
        <f>IF(ISNUMBER('와이드(실측)'!P8),'와이드(실측)'!P8+와이드제작!AT8+와이드A늘림,0)</f>
        <v>23</v>
      </c>
      <c r="U8" s="31">
        <f>'와이드(실측)'!Q8-와이드기둥차감</f>
        <v>2088</v>
      </c>
      <c r="V8" s="31">
        <f>'와이드(실측)'!R8-와이드기둥차감</f>
        <v>2090</v>
      </c>
      <c r="W8" s="31">
        <f>'와이드(실측)'!S8-와이드기둥차감</f>
        <v>2085</v>
      </c>
      <c r="X8" s="31">
        <f>'와이드(실측)'!T8-와이드기둥차감</f>
        <v>2089</v>
      </c>
      <c r="Y8" s="31">
        <f>IF(소장="손상민",IF(ISNUMBER('와이드(실측)'!U8),'와이드(실측)'!U8+1.2,0),IF(ISNUMBER('와이드(실측)'!U8),'와이드(실측)'!U8+와이드U,0))</f>
        <v>45</v>
      </c>
      <c r="Z8" s="31">
        <f>IF(소장="손상민",MAX(Q8,R8)+3.2,IF(ISNUMBER('와이드(실측)'!V8),'와이드(실측)'!V8+1.5+와이드제작!Q8+1,0))</f>
        <v>19</v>
      </c>
      <c r="AA8" s="31">
        <f>'와이드(실측)'!W8+뒷날개치수더함</f>
        <v>30</v>
      </c>
      <c r="AB8" s="31">
        <f>'와이드(실측)'!X8+뒷날개치수더함</f>
        <v>25</v>
      </c>
      <c r="AC8" s="31">
        <f>'와이드(실측)'!Y8-와이드늘치</f>
        <v>12</v>
      </c>
      <c r="AD8" s="31">
        <f>IF(와이드JB하부늘치=1,AC8,'와이드(실측)'!Z8-와이드늘치)</f>
        <v>12</v>
      </c>
      <c r="AE8" s="31">
        <f>'와이드(실측)'!AA8-와이드늘치</f>
        <v>12</v>
      </c>
      <c r="AF8" s="31">
        <f>IF(와이드JB하부늘치=1,AE8,'와이드(실측)'!AB8-와이드늘치)</f>
        <v>12</v>
      </c>
      <c r="AG8" s="31">
        <f xml:space="preserve"> IF(소장&lt;&gt;"손상민",IF('와이드(실측)'!AC8&gt;0,'와이드(실측)'!AC8,C8-1.2),IF('와이드(실측)'!AC8&gt;0,'와이드(실측)'!AC8+1.2,C8) )</f>
        <v>320.8</v>
      </c>
      <c r="AH8" s="31">
        <f xml:space="preserve"> IF(소장&lt;&gt;"손상민",IF('와이드(실측)'!AD8&gt;0,'와이드(실측)'!AD8,D8-1.2),IF('와이드(실측)'!AD8&gt;0,'와이드(실측)'!AD8+1.2,D8))</f>
        <v>320.8</v>
      </c>
      <c r="AI8" s="51">
        <f t="shared" ref="AI8:AI13" si="10">IF(Z8&gt;0,Z8-MAX(Q8,R8),0)</f>
        <v>6.5</v>
      </c>
      <c r="AJ8" s="31" t="str">
        <f t="shared" ref="AJ8:AJ13" si="11">BA8&amp;"*"&amp;BB8</f>
        <v>1119*834.2</v>
      </c>
      <c r="AK8" s="31" t="str">
        <f t="shared" ref="AK8:AK13" si="12">BD8&amp;"*"&amp;BC8</f>
        <v>2410.8*511.2</v>
      </c>
      <c r="AL8" s="31" t="str">
        <f t="shared" ref="AL8:AL13" si="13">BF8&amp;"*"&amp;BE8</f>
        <v>2409.8*525.2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100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10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2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2</v>
      </c>
      <c r="AU8" s="20">
        <f t="shared" ref="AU8:AU13" si="14">DEGREES(ATAN((F8-E8)/2/(H8)))</f>
        <v>10.004003413113136</v>
      </c>
      <c r="AV8" s="21">
        <f t="shared" ref="AV8:AV13" si="15">ABS(G8-COS(RADIANS(AU8))*I8)</f>
        <v>12.462115453710112</v>
      </c>
      <c r="AW8" s="21">
        <f t="shared" ref="AW8:AW13" si="16">ABS(H8-COS(RADIANS(AU8))*K8)</f>
        <v>12.462115453710112</v>
      </c>
      <c r="AX8" s="21">
        <f>'와이드(실측)'!M8+AS8</f>
        <v>14</v>
      </c>
      <c r="AY8" s="21">
        <f>'와이드(실측)'!N8+AS8</f>
        <v>14</v>
      </c>
      <c r="AZ8" s="20">
        <f t="shared" ref="AZ8:AZ13" si="17">AV8-MAX(AX8,AY8)</f>
        <v>-1.537884546289888</v>
      </c>
      <c r="BA8" s="41">
        <f t="shared" si="4"/>
        <v>1119</v>
      </c>
      <c r="BB8" s="42">
        <f>MAX(C8,D8)+MAX(G8,H8)+AA8-1.2*$AJ$3+IF(BI8=0,MAX(AE8,AC8),0)+IF(Y8=0,1.2,0)+IF(Z8=0,1.2,0)+IF(소장&lt;&gt;"손상민", Y8+Z8,IF('와이드(실측)'!U8=0,0,2.4))</f>
        <v>834.2</v>
      </c>
      <c r="BC8" s="41">
        <f t="shared" ref="BC8:BC13" si="18">S8+O8+MAX(I8,J8)+AB8-1.2*$AL$3+IF(BI8=0,MAX(AD8,AC8),0)+IF(S8=0,1.2,0)-IF(AR8=90,2.4,0)</f>
        <v>511.2</v>
      </c>
      <c r="BD8" s="41">
        <f t="shared" ref="BD8:BD13" si="19">MAX(U8,V8)+AG8</f>
        <v>2410.8000000000002</v>
      </c>
      <c r="BE8" s="41">
        <f t="shared" ref="BE8:BE13" si="20">T8+P8+MAX(K8,L8)+AB8-1.2*$AL$3+IF(BI8=0,MAX(AE8,AF8),0)+IF(T8=0,1.2,0)-IF(AR8=90,2.4,0)</f>
        <v>525.20000000000005</v>
      </c>
      <c r="BF8" s="41">
        <f t="shared" ref="BF8:BF13" si="21">MAX(W8,X8)+AH8</f>
        <v>2409.8000000000002</v>
      </c>
      <c r="BG8" s="6">
        <f t="shared" ref="BG8:BG13" si="22">I8-G8-Q8</f>
        <v>6.5</v>
      </c>
      <c r="BH8" s="43" t="str">
        <f t="shared" ref="BH8:BH13" si="23">IF(AND(C8&lt;&gt;D8,Y8&gt;0),"NG","")</f>
        <v/>
      </c>
      <c r="BI8" s="77">
        <f t="shared" ref="BI8:BI13" si="24">IF(AND(MIN(AC8,AE8)&gt;=9.2,ABS(F8-E8)&gt;15),0,1)</f>
        <v>0</v>
      </c>
    </row>
    <row r="9" spans="1:61" ht="26.25" customHeight="1" x14ac:dyDescent="0.3">
      <c r="A9" s="31">
        <f>'와이드(실측)'!A9</f>
        <v>0</v>
      </c>
      <c r="B9" s="31" t="str">
        <f>'와이드(실측)'!B9&amp;"F"</f>
        <v>2F</v>
      </c>
      <c r="C9" s="31">
        <f>'와이드(실측)'!C9+와이드MH더함-IF(AND(소장="추영덕",Y9=0),1.2)</f>
        <v>322</v>
      </c>
      <c r="D9" s="31">
        <f>'와이드(실측)'!D9+와이드MH더함-IF(AND(소장="추영덕",Y9=0),1.2)</f>
        <v>322</v>
      </c>
      <c r="E9" s="135">
        <f>'와이드(실측)'!E9-와이드OP</f>
        <v>897</v>
      </c>
      <c r="F9" s="31">
        <f>'와이드(실측)'!F9-와이드R</f>
        <v>1034</v>
      </c>
      <c r="G9" s="50">
        <f>'와이드(실측)'!G9+와이드JBJD키움치수+IF(BI9=1,AC9,0)</f>
        <v>386</v>
      </c>
      <c r="H9" s="50">
        <f>'와이드(실측)'!H9+와이드JBJD키움치수+IF(BI9=1,AE9,0)</f>
        <v>386</v>
      </c>
      <c r="I9" s="50">
        <f>'와이드(실측)'!I9+MAX(AS9,AT9)+와이드JBJD키움치수+IF(BI9=1,AC9,0)</f>
        <v>404</v>
      </c>
      <c r="J9" s="50">
        <f>'와이드(실측)'!I9+MAX(AS9,AT9)+와이드JBJD키움치수+IF(BI9=1,AD9,0)-IF(와이드JB하부늘치=1,'와이드(실측)'!Y9-'와이드(실측)'!Z9,0)</f>
        <v>402</v>
      </c>
      <c r="K9" s="50">
        <f>'와이드(실측)'!J9+MAX(AS9,AT9)+와이드JBJD키움치수+IF(BI9=1,AE9,0)</f>
        <v>404</v>
      </c>
      <c r="L9" s="50">
        <f>'와이드(실측)'!J9+MAX(AS9,AT9)+와이드JBJD키움치수+IF(BI9=1,AF9,0)-IF(와이드JB하부늘치=1,'와이드(실측)'!AA9-'와이드(실측)'!AB9,0)</f>
        <v>403</v>
      </c>
      <c r="M9" s="31">
        <f t="shared" si="6"/>
        <v>38.5</v>
      </c>
      <c r="N9" s="31">
        <f t="shared" si="7"/>
        <v>38.5</v>
      </c>
      <c r="O9" s="31">
        <f>IF(S9&lt;9,'와이드(실측)'!K9+1.2,IF(ISNUMBER('와이드(실측)'!K9),'와이드(실측)'!K9+와이드C값,0))</f>
        <v>40</v>
      </c>
      <c r="P9" s="31">
        <f>IF(T9&lt;9,'와이드(실측)'!L9+1.2,IF(ISNUMBER('와이드(실측)'!L9),'와이드(실측)'!L9+와이드C값,0))</f>
        <v>40</v>
      </c>
      <c r="Q9" s="32">
        <f t="shared" si="8"/>
        <v>11.799999999999999</v>
      </c>
      <c r="R9" s="38">
        <f t="shared" si="9"/>
        <v>11.799999999999999</v>
      </c>
      <c r="S9" s="31">
        <f>IF(ISNUMBER('와이드(실측)'!O9),'와이드(실측)'!O9+와이드제작!AS9+와이드A늘림,0)</f>
        <v>11</v>
      </c>
      <c r="T9" s="31">
        <f>IF(ISNUMBER('와이드(실측)'!P9),'와이드(실측)'!P9+와이드제작!AT9+와이드A늘림,0)</f>
        <v>9</v>
      </c>
      <c r="U9" s="31">
        <f>'와이드(실측)'!Q9-와이드기둥차감</f>
        <v>2102</v>
      </c>
      <c r="V9" s="31">
        <f>'와이드(실측)'!R9-와이드기둥차감</f>
        <v>2090</v>
      </c>
      <c r="W9" s="31">
        <f>'와이드(실측)'!S9-와이드기둥차감</f>
        <v>2103</v>
      </c>
      <c r="X9" s="31">
        <f>'와이드(실측)'!T9-와이드기둥차감</f>
        <v>2087</v>
      </c>
      <c r="Y9" s="31">
        <f>IF(소장="손상민",IF(ISNUMBER('와이드(실측)'!U9),'와이드(실측)'!U9+1.2,0),IF(ISNUMBER('와이드(실측)'!U9),'와이드(실측)'!U9+와이드U,0))</f>
        <v>45</v>
      </c>
      <c r="Z9" s="31">
        <f>IF(소장="손상민",MAX(Q9,R9)+3.2,IF(ISNUMBER('와이드(실측)'!V9),'와이드(실측)'!V9+1.5+와이드제작!Q9+1,0))</f>
        <v>19.299999999999997</v>
      </c>
      <c r="AA9" s="31">
        <f>'와이드(실측)'!W9+뒷날개치수더함</f>
        <v>30</v>
      </c>
      <c r="AB9" s="31">
        <f>'와이드(실측)'!X9+뒷날개치수더함</f>
        <v>25</v>
      </c>
      <c r="AC9" s="31">
        <f>'와이드(실측)'!Y9-와이드늘치</f>
        <v>11</v>
      </c>
      <c r="AD9" s="31">
        <f>IF(와이드JB하부늘치=1,AC9,'와이드(실측)'!Z9-와이드늘치)</f>
        <v>11</v>
      </c>
      <c r="AE9" s="31">
        <f>'와이드(실측)'!AA9-와이드늘치</f>
        <v>11</v>
      </c>
      <c r="AF9" s="31">
        <f>IF(와이드JB하부늘치=1,AE9,'와이드(실측)'!AB9-와이드늘치)</f>
        <v>11</v>
      </c>
      <c r="AG9" s="31">
        <f xml:space="preserve"> IF(소장&lt;&gt;"손상민",IF('와이드(실측)'!AC9&gt;0,'와이드(실측)'!AC9,C9-1.2),IF('와이드(실측)'!AC9&gt;0,'와이드(실측)'!AC9+1.2,C9) )</f>
        <v>320.8</v>
      </c>
      <c r="AH9" s="31">
        <f xml:space="preserve"> IF(소장&lt;&gt;"손상민",IF('와이드(실측)'!AD9&gt;0,'와이드(실측)'!AD9,D9-1.2),IF('와이드(실측)'!AD9&gt;0,'와이드(실측)'!AD9+1.2,D9))</f>
        <v>320.8</v>
      </c>
      <c r="AI9" s="51">
        <f t="shared" si="10"/>
        <v>7.4999999999999982</v>
      </c>
      <c r="AJ9" s="31" t="str">
        <f t="shared" si="11"/>
        <v>1111*808.5</v>
      </c>
      <c r="AK9" s="31" t="str">
        <f t="shared" si="12"/>
        <v>2422.8*486.2</v>
      </c>
      <c r="AL9" s="31" t="str">
        <f t="shared" si="13"/>
        <v>2423.8*484.2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100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10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2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2</v>
      </c>
      <c r="AU9" s="20">
        <f t="shared" si="14"/>
        <v>10.063010825056285</v>
      </c>
      <c r="AV9" s="21">
        <f t="shared" si="15"/>
        <v>11.784940180345131</v>
      </c>
      <c r="AW9" s="21">
        <f t="shared" si="16"/>
        <v>11.784940180345131</v>
      </c>
      <c r="AX9" s="21">
        <f>'와이드(실측)'!M9+AS9</f>
        <v>13</v>
      </c>
      <c r="AY9" s="21">
        <f>'와이드(실측)'!N9+AS9</f>
        <v>12</v>
      </c>
      <c r="AZ9" s="20">
        <f t="shared" si="17"/>
        <v>-1.2150598196548685</v>
      </c>
      <c r="BA9" s="41">
        <f t="shared" si="4"/>
        <v>1111</v>
      </c>
      <c r="BB9" s="42">
        <f>MAX(C9,D9)+MAX(G9,H9)+AA9-1.2*$AJ$3+IF(BI9=0,MAX(AE9,AC9),0)+IF(Y9=0,1.2,0)+IF(Z9=0,1.2,0)+IF(소장&lt;&gt;"손상민", Y9+Z9,IF('와이드(실측)'!U9=0,0,2.4))</f>
        <v>808.5</v>
      </c>
      <c r="BC9" s="41">
        <f t="shared" si="18"/>
        <v>486.2</v>
      </c>
      <c r="BD9" s="41">
        <f t="shared" si="19"/>
        <v>2422.8000000000002</v>
      </c>
      <c r="BE9" s="41">
        <f t="shared" si="20"/>
        <v>484.2</v>
      </c>
      <c r="BF9" s="41">
        <f t="shared" si="21"/>
        <v>2423.8000000000002</v>
      </c>
      <c r="BG9" s="6">
        <f t="shared" si="22"/>
        <v>6.2000000000000011</v>
      </c>
      <c r="BH9" s="43" t="str">
        <f t="shared" si="23"/>
        <v/>
      </c>
      <c r="BI9" s="77">
        <f t="shared" si="24"/>
        <v>0</v>
      </c>
    </row>
    <row r="10" spans="1:61" ht="26.25" customHeight="1" x14ac:dyDescent="0.3">
      <c r="A10" s="31">
        <f>'와이드(실측)'!A10</f>
        <v>0</v>
      </c>
      <c r="B10" s="31" t="str">
        <f>'와이드(실측)'!B10&amp;"F"</f>
        <v>1F</v>
      </c>
      <c r="C10" s="31">
        <f>'와이드(실측)'!C10+와이드MH더함-IF(AND(소장="추영덕",Y10=0),1.2)</f>
        <v>322</v>
      </c>
      <c r="D10" s="31">
        <f>'와이드(실측)'!D10+와이드MH더함-IF(AND(소장="추영덕",Y10=0),1.2)</f>
        <v>322</v>
      </c>
      <c r="E10" s="135">
        <f>'와이드(실측)'!E10-와이드OP</f>
        <v>897</v>
      </c>
      <c r="F10" s="31">
        <f>'와이드(실측)'!F10-와이드R</f>
        <v>1039</v>
      </c>
      <c r="G10" s="50">
        <f>'와이드(실측)'!G10+와이드JBJD키움치수+IF(BI10=1,AC10,0)</f>
        <v>401</v>
      </c>
      <c r="H10" s="50">
        <f>'와이드(실측)'!H10+와이드JBJD키움치수+IF(BI10=1,AE10,0)</f>
        <v>401</v>
      </c>
      <c r="I10" s="50">
        <f>'와이드(실측)'!I10+MAX(AS10,AT10)+와이드JBJD키움치수+IF(BI10=1,AC10,0)</f>
        <v>419</v>
      </c>
      <c r="J10" s="50">
        <f>'와이드(실측)'!I10+MAX(AS10,AT10)+와이드JBJD키움치수+IF(BI10=1,AD10,0)-IF(와이드JB하부늘치=1,'와이드(실측)'!Y10-'와이드(실측)'!Z10,0)</f>
        <v>419</v>
      </c>
      <c r="K10" s="50">
        <f>'와이드(실측)'!J10+MAX(AS10,AT10)+와이드JBJD키움치수+IF(BI10=1,AE10,0)</f>
        <v>419</v>
      </c>
      <c r="L10" s="50">
        <f>'와이드(실측)'!J10+MAX(AS10,AT10)+와이드JBJD키움치수+IF(BI10=1,AF10,0)-IF(와이드JB하부늘치=1,'와이드(실측)'!AA10-'와이드(실측)'!AB10,0)</f>
        <v>416</v>
      </c>
      <c r="M10" s="31">
        <f t="shared" si="6"/>
        <v>38.5</v>
      </c>
      <c r="N10" s="31">
        <f t="shared" si="7"/>
        <v>38.5</v>
      </c>
      <c r="O10" s="31">
        <f>IF(S10&lt;9,'와이드(실측)'!K10+1.2,IF(ISNUMBER('와이드(실측)'!K10),'와이드(실측)'!K10+와이드C값,0))</f>
        <v>40</v>
      </c>
      <c r="P10" s="31">
        <f>IF(T10&lt;9,'와이드(실측)'!L10+1.2,IF(ISNUMBER('와이드(실측)'!L10),'와이드(실측)'!L10+와이드C값,0))</f>
        <v>40</v>
      </c>
      <c r="Q10" s="32">
        <f t="shared" si="8"/>
        <v>11.6</v>
      </c>
      <c r="R10" s="38">
        <f t="shared" si="9"/>
        <v>11.6</v>
      </c>
      <c r="S10" s="31">
        <f>IF(ISNUMBER('와이드(실측)'!O10),'와이드(실측)'!O10+와이드제작!AS10+와이드A늘림,0)</f>
        <v>12</v>
      </c>
      <c r="T10" s="31">
        <f>IF(ISNUMBER('와이드(실측)'!P10),'와이드(실측)'!P10+와이드제작!AT10+와이드A늘림,0)</f>
        <v>13</v>
      </c>
      <c r="U10" s="31">
        <f>'와이드(실측)'!Q10-와이드기둥차감</f>
        <v>2088</v>
      </c>
      <c r="V10" s="31">
        <f>'와이드(실측)'!R10-와이드기둥차감</f>
        <v>2086</v>
      </c>
      <c r="W10" s="31">
        <f>'와이드(실측)'!S10-와이드기둥차감</f>
        <v>2089</v>
      </c>
      <c r="X10" s="31">
        <f>'와이드(실측)'!T10-와이드기둥차감</f>
        <v>2090</v>
      </c>
      <c r="Y10" s="31">
        <f>IF(소장="손상민",IF(ISNUMBER('와이드(실측)'!U10),'와이드(실측)'!U10+1.2,0),IF(ISNUMBER('와이드(실측)'!U10),'와이드(실측)'!U10+와이드U,0))</f>
        <v>45</v>
      </c>
      <c r="Z10" s="31">
        <f>IF(소장="손상민",MAX(Q10,R10)+3.2,IF(ISNUMBER('와이드(실측)'!V10),'와이드(실측)'!V10+1.5+와이드제작!Q10+1,0))</f>
        <v>19.100000000000001</v>
      </c>
      <c r="AA10" s="31">
        <f>'와이드(실측)'!W10+뒷날개치수더함</f>
        <v>30</v>
      </c>
      <c r="AB10" s="31">
        <f>'와이드(실측)'!X10+뒷날개치수더함</f>
        <v>25</v>
      </c>
      <c r="AC10" s="31">
        <f>'와이드(실측)'!Y10-와이드늘치</f>
        <v>11</v>
      </c>
      <c r="AD10" s="31">
        <f>IF(와이드JB하부늘치=1,AC10,'와이드(실측)'!Z10-와이드늘치)</f>
        <v>11</v>
      </c>
      <c r="AE10" s="31">
        <f>'와이드(실측)'!AA10-와이드늘치</f>
        <v>11</v>
      </c>
      <c r="AF10" s="31">
        <f>IF(와이드JB하부늘치=1,AE10,'와이드(실측)'!AB10-와이드늘치)</f>
        <v>11</v>
      </c>
      <c r="AG10" s="31">
        <f xml:space="preserve"> IF(소장&lt;&gt;"손상민",IF('와이드(실측)'!AC10&gt;0,'와이드(실측)'!AC10,C10-1.2),IF('와이드(실측)'!AC10&gt;0,'와이드(실측)'!AC10+1.2,C10) )</f>
        <v>320.8</v>
      </c>
      <c r="AH10" s="31">
        <f xml:space="preserve"> IF(소장&lt;&gt;"손상민",IF('와이드(실측)'!AD10&gt;0,'와이드(실측)'!AD10,D10-1.2),IF('와이드(실측)'!AD10&gt;0,'와이드(실측)'!AD10+1.2,D10))</f>
        <v>320.8</v>
      </c>
      <c r="AI10" s="51">
        <f t="shared" si="10"/>
        <v>7.5000000000000018</v>
      </c>
      <c r="AJ10" s="31" t="str">
        <f t="shared" si="11"/>
        <v>1116*823.3</v>
      </c>
      <c r="AK10" s="31" t="str">
        <f t="shared" si="12"/>
        <v>2408.8*502.2</v>
      </c>
      <c r="AL10" s="31" t="str">
        <f t="shared" si="13"/>
        <v>2410.8*503.2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10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10.040580525953382</v>
      </c>
      <c r="AV10" s="21">
        <f t="shared" si="15"/>
        <v>11.582812747757032</v>
      </c>
      <c r="AW10" s="21">
        <f t="shared" si="16"/>
        <v>11.582812747757032</v>
      </c>
      <c r="AX10" s="21">
        <f>'와이드(실측)'!M10+AS10</f>
        <v>12</v>
      </c>
      <c r="AY10" s="21">
        <f>'와이드(실측)'!N10+AS10</f>
        <v>11</v>
      </c>
      <c r="AZ10" s="20">
        <f t="shared" si="17"/>
        <v>-0.41718725224296804</v>
      </c>
      <c r="BA10" s="41">
        <f t="shared" si="4"/>
        <v>1116</v>
      </c>
      <c r="BB10" s="42">
        <f>MAX(C10,D10)+MAX(G10,H10)+AA10-1.2*$AJ$3+IF(BI10=0,MAX(AE10,AC10),0)+IF(Y10=0,1.2,0)+IF(Z10=0,1.2,0)+IF(소장&lt;&gt;"손상민", Y10+Z10,IF('와이드(실측)'!U10=0,0,2.4))</f>
        <v>823.30000000000007</v>
      </c>
      <c r="BC10" s="41">
        <f t="shared" si="18"/>
        <v>502.2</v>
      </c>
      <c r="BD10" s="41">
        <f t="shared" si="19"/>
        <v>2408.8000000000002</v>
      </c>
      <c r="BE10" s="41">
        <f t="shared" si="20"/>
        <v>503.2</v>
      </c>
      <c r="BF10" s="41">
        <f t="shared" si="21"/>
        <v>2410.8000000000002</v>
      </c>
      <c r="BG10" s="6">
        <f t="shared" si="22"/>
        <v>6.4</v>
      </c>
      <c r="BH10" s="43" t="str">
        <f t="shared" si="23"/>
        <v/>
      </c>
      <c r="BI10" s="77">
        <f t="shared" si="24"/>
        <v>0</v>
      </c>
    </row>
    <row r="11" spans="1:61" ht="26.25" customHeight="1" x14ac:dyDescent="0.3">
      <c r="A11" s="31">
        <f>'와이드(실측)'!A11</f>
        <v>0</v>
      </c>
      <c r="B11" s="31" t="str">
        <f>'와이드(실측)'!B11&amp;"F"</f>
        <v>B1F</v>
      </c>
      <c r="C11" s="31">
        <f>'와이드(실측)'!C11+와이드MH더함-IF(AND(소장="추영덕",Y11=0),1.2)</f>
        <v>362</v>
      </c>
      <c r="D11" s="31">
        <f>'와이드(실측)'!D11+와이드MH더함-IF(AND(소장="추영덕",Y11=0),1.2)</f>
        <v>352</v>
      </c>
      <c r="E11" s="135">
        <f>'와이드(실측)'!E11-와이드OP</f>
        <v>895</v>
      </c>
      <c r="F11" s="31">
        <f>'와이드(실측)'!F11-와이드R</f>
        <v>1045</v>
      </c>
      <c r="G11" s="50">
        <f>'와이드(실측)'!G11+와이드JBJD키움치수+IF(BI11=1,AC11,0)</f>
        <v>418</v>
      </c>
      <c r="H11" s="50">
        <f>'와이드(실측)'!H11+와이드JBJD키움치수+IF(BI11=1,AE11,0)</f>
        <v>418</v>
      </c>
      <c r="I11" s="50">
        <f>'와이드(실측)'!I11+MAX(AS11,AT11)+와이드JBJD키움치수+IF(BI11=1,AC11,0)</f>
        <v>437</v>
      </c>
      <c r="J11" s="50">
        <f>'와이드(실측)'!I11+MAX(AS11,AT11)+와이드JBJD키움치수+IF(BI11=1,AD11,0)-IF(와이드JB하부늘치=1,'와이드(실측)'!Y11-'와이드(실측)'!Z11,0)</f>
        <v>431</v>
      </c>
      <c r="K11" s="50">
        <f>'와이드(실측)'!J11+MAX(AS11,AT11)+와이드JBJD키움치수+IF(BI11=1,AE11,0)</f>
        <v>437</v>
      </c>
      <c r="L11" s="50">
        <f>'와이드(실측)'!J11+MAX(AS11,AT11)+와이드JBJD키움치수+IF(BI11=1,AF11,0)-IF(와이드JB하부늘치=1,'와이드(실측)'!AA11-'와이드(실측)'!AB11,0)</f>
        <v>432</v>
      </c>
      <c r="M11" s="31">
        <f t="shared" si="6"/>
        <v>38.5</v>
      </c>
      <c r="N11" s="31">
        <f t="shared" si="7"/>
        <v>38.5</v>
      </c>
      <c r="O11" s="31">
        <f>IF(S11&lt;9,'와이드(실측)'!K11+1.2,IF(ISNUMBER('와이드(실측)'!K11),'와이드(실측)'!K11+와이드C값,0))</f>
        <v>40</v>
      </c>
      <c r="P11" s="31">
        <f>IF(T11&lt;9,'와이드(실측)'!L11+1.2,IF(ISNUMBER('와이드(실측)'!L11),'와이드(실측)'!L11+와이드C값,0))</f>
        <v>40</v>
      </c>
      <c r="Q11" s="32">
        <f t="shared" si="8"/>
        <v>12.2</v>
      </c>
      <c r="R11" s="38">
        <f t="shared" si="9"/>
        <v>12.2</v>
      </c>
      <c r="S11" s="31">
        <f>IF(ISNUMBER('와이드(실측)'!O11),'와이드(실측)'!O11+와이드제작!AS11+와이드A늘림,0)</f>
        <v>9</v>
      </c>
      <c r="T11" s="31">
        <f>IF(ISNUMBER('와이드(실측)'!P11),'와이드(실측)'!P11+와이드제작!AT11+와이드A늘림,0)</f>
        <v>14</v>
      </c>
      <c r="U11" s="31">
        <f>'와이드(실측)'!Q11-와이드기둥차감</f>
        <v>2054</v>
      </c>
      <c r="V11" s="31">
        <f>'와이드(실측)'!R11-와이드기둥차감</f>
        <v>2053</v>
      </c>
      <c r="W11" s="31">
        <f>'와이드(실측)'!S11-와이드기둥차감</f>
        <v>2068</v>
      </c>
      <c r="X11" s="31">
        <f>'와이드(실측)'!T11-와이드기둥차감</f>
        <v>2060</v>
      </c>
      <c r="Y11" s="31">
        <f>IF(소장="손상민",IF(ISNUMBER('와이드(실측)'!U11),'와이드(실측)'!U11+1.2,0),IF(ISNUMBER('와이드(실측)'!U11),'와이드(실측)'!U11+와이드U,0))</f>
        <v>50</v>
      </c>
      <c r="Z11" s="31">
        <f>IF(소장="손상민",MAX(Q11,R11)+3.2,IF(ISNUMBER('와이드(실측)'!V11),'와이드(실측)'!V11+1.5+와이드제작!Q11+1,0))</f>
        <v>19.7</v>
      </c>
      <c r="AA11" s="31">
        <f>'와이드(실측)'!W11+뒷날개치수더함</f>
        <v>30</v>
      </c>
      <c r="AB11" s="31">
        <f>'와이드(실측)'!X11+뒷날개치수더함</f>
        <v>25</v>
      </c>
      <c r="AC11" s="31">
        <f>'와이드(실측)'!Y11-와이드늘치</f>
        <v>13</v>
      </c>
      <c r="AD11" s="31">
        <f>IF(와이드JB하부늘치=1,AC11,'와이드(실측)'!Z11-와이드늘치)</f>
        <v>13</v>
      </c>
      <c r="AE11" s="31">
        <f>'와이드(실측)'!AA11-와이드늘치</f>
        <v>13</v>
      </c>
      <c r="AF11" s="31">
        <f>IF(와이드JB하부늘치=1,AE11,'와이드(실측)'!AB11-와이드늘치)</f>
        <v>13</v>
      </c>
      <c r="AG11" s="31">
        <f xml:space="preserve"> IF(소장&lt;&gt;"손상민",IF('와이드(실측)'!AC11&gt;0,'와이드(실측)'!AC11,C11-1.2),IF('와이드(실측)'!AC11&gt;0,'와이드(실측)'!AC11+1.2,C11) )</f>
        <v>360.8</v>
      </c>
      <c r="AH11" s="31">
        <f xml:space="preserve"> IF(소장&lt;&gt;"손상민",IF('와이드(실측)'!AD11&gt;0,'와이드(실측)'!AD11,D11-1.2),IF('와이드(실측)'!AD11&gt;0,'와이드(실측)'!AD11+1.2,D11))</f>
        <v>350.8</v>
      </c>
      <c r="AI11" s="51">
        <f t="shared" si="10"/>
        <v>7.5</v>
      </c>
      <c r="AJ11" s="31" t="str">
        <f t="shared" si="11"/>
        <v>1122*887.9</v>
      </c>
      <c r="AK11" s="31" t="str">
        <f t="shared" si="12"/>
        <v>2414.8*519.2</v>
      </c>
      <c r="AL11" s="31" t="str">
        <f t="shared" si="13"/>
        <v>2418.8*524.2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15</v>
      </c>
      <c r="AQ11" s="31">
        <f>'와이드(실측)'!AI11</f>
        <v>10</v>
      </c>
      <c r="AR11" s="31">
        <f>'와이드(실측)'!AJ11</f>
        <v>10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2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2</v>
      </c>
      <c r="AU11" s="20">
        <f t="shared" si="14"/>
        <v>10.172105852287538</v>
      </c>
      <c r="AV11" s="21">
        <f t="shared" si="15"/>
        <v>12.131104691987957</v>
      </c>
      <c r="AW11" s="21">
        <f t="shared" si="16"/>
        <v>12.131104691987957</v>
      </c>
      <c r="AX11" s="21">
        <f>'와이드(실측)'!M11+AS11</f>
        <v>11</v>
      </c>
      <c r="AY11" s="21">
        <f>'와이드(실측)'!N11+AS11</f>
        <v>12</v>
      </c>
      <c r="AZ11" s="20">
        <f t="shared" si="17"/>
        <v>0.13110469198795727</v>
      </c>
      <c r="BA11" s="41">
        <f t="shared" si="4"/>
        <v>1122</v>
      </c>
      <c r="BB11" s="42">
        <f>MAX(C11,D11)+MAX(G11,H11)+AA11-1.2*$AJ$3+IF(BI11=0,MAX(AE11,AC11),0)+IF(Y11=0,1.2,0)+IF(Z11=0,1.2,0)+IF(소장&lt;&gt;"손상민", Y11+Z11,IF('와이드(실측)'!U11=0,0,2.4))</f>
        <v>887.90000000000009</v>
      </c>
      <c r="BC11" s="41">
        <f t="shared" si="18"/>
        <v>519.20000000000005</v>
      </c>
      <c r="BD11" s="41">
        <f t="shared" si="19"/>
        <v>2414.8000000000002</v>
      </c>
      <c r="BE11" s="41">
        <f t="shared" si="20"/>
        <v>524.20000000000005</v>
      </c>
      <c r="BF11" s="41">
        <f t="shared" si="21"/>
        <v>2418.8000000000002</v>
      </c>
      <c r="BG11" s="6">
        <f t="shared" si="22"/>
        <v>6.8000000000000007</v>
      </c>
      <c r="BH11" s="43" t="str">
        <f t="shared" si="23"/>
        <v>NG</v>
      </c>
      <c r="BI11" s="77">
        <f t="shared" si="24"/>
        <v>0</v>
      </c>
    </row>
    <row r="12" spans="1:61" ht="26.25" customHeight="1" x14ac:dyDescent="0.3">
      <c r="A12" s="31">
        <f>'와이드(실측)'!A12</f>
        <v>0</v>
      </c>
      <c r="B12" s="31" t="str">
        <f>'와이드(실측)'!B12&amp;"F"</f>
        <v>B2F</v>
      </c>
      <c r="C12" s="31">
        <f>'와이드(실측)'!C12+와이드MH더함-IF(AND(소장="추영덕",Y12=0),1.2)</f>
        <v>327</v>
      </c>
      <c r="D12" s="31">
        <f>'와이드(실측)'!D12+와이드MH더함-IF(AND(소장="추영덕",Y12=0),1.2)</f>
        <v>322</v>
      </c>
      <c r="E12" s="135">
        <f>'와이드(실측)'!E12-와이드OP</f>
        <v>897</v>
      </c>
      <c r="F12" s="31">
        <f>'와이드(실측)'!F12-와이드R</f>
        <v>1043</v>
      </c>
      <c r="G12" s="50">
        <f>'와이드(실측)'!G12+와이드JBJD키움치수+IF(BI12=1,AC12,0)</f>
        <v>412</v>
      </c>
      <c r="H12" s="50">
        <f>'와이드(실측)'!H12+와이드JBJD키움치수+IF(BI12=1,AE12,0)</f>
        <v>412</v>
      </c>
      <c r="I12" s="50">
        <f>'와이드(실측)'!I12+MAX(AS12,AT12)+와이드JBJD키움치수+IF(BI12=1,AC12,0)</f>
        <v>437</v>
      </c>
      <c r="J12" s="50">
        <f>'와이드(실측)'!I12+MAX(AS12,AT12)+와이드JBJD키움치수+IF(BI12=1,AD12,0)-IF(와이드JB하부늘치=1,'와이드(실측)'!Y12-'와이드(실측)'!Z12,0)</f>
        <v>433</v>
      </c>
      <c r="K12" s="50">
        <f>'와이드(실측)'!J12+MAX(AS12,AT12)+와이드JBJD키움치수+IF(BI12=1,AE12,0)</f>
        <v>437</v>
      </c>
      <c r="L12" s="50">
        <f>'와이드(실측)'!J12+MAX(AS12,AT12)+와이드JBJD키움치수+IF(BI12=1,AF12,0)-IF(와이드JB하부늘치=1,'와이드(실측)'!AA12-'와이드(실측)'!AB12,0)</f>
        <v>433</v>
      </c>
      <c r="M12" s="31">
        <f t="shared" si="6"/>
        <v>30.5</v>
      </c>
      <c r="N12" s="31">
        <f t="shared" si="7"/>
        <v>29.5</v>
      </c>
      <c r="O12" s="31">
        <f>IF(S12&lt;9,'와이드(실측)'!K12+1.2,IF(ISNUMBER('와이드(실측)'!K12),'와이드(실측)'!K12+와이드C값,0))</f>
        <v>32</v>
      </c>
      <c r="P12" s="31">
        <f>IF(T12&lt;9,'와이드(실측)'!L12+1.2,IF(ISNUMBER('와이드(실측)'!L12),'와이드(실측)'!L12+와이드C값,0))</f>
        <v>31</v>
      </c>
      <c r="Q12" s="32">
        <f t="shared" si="8"/>
        <v>18.3</v>
      </c>
      <c r="R12" s="38">
        <f t="shared" si="9"/>
        <v>18.3</v>
      </c>
      <c r="S12" s="31">
        <f>IF(ISNUMBER('와이드(실측)'!O12),'와이드(실측)'!O12+와이드제작!AS12+와이드A늘림,0)</f>
        <v>9</v>
      </c>
      <c r="T12" s="31">
        <f>IF(ISNUMBER('와이드(실측)'!P12),'와이드(실측)'!P12+와이드제작!AT12+와이드A늘림,0)</f>
        <v>9</v>
      </c>
      <c r="U12" s="31">
        <f>'와이드(실측)'!Q12-와이드기둥차감</f>
        <v>2077</v>
      </c>
      <c r="V12" s="31">
        <f>'와이드(실측)'!R12-와이드기둥차감</f>
        <v>2079</v>
      </c>
      <c r="W12" s="31">
        <f>'와이드(실측)'!S12-와이드기둥차감</f>
        <v>2080</v>
      </c>
      <c r="X12" s="31">
        <f>'와이드(실측)'!T12-와이드기둥차감</f>
        <v>2091</v>
      </c>
      <c r="Y12" s="31">
        <f>IF(소장="손상민",IF(ISNUMBER('와이드(실측)'!U12),'와이드(실측)'!U12+1.2,0),IF(ISNUMBER('와이드(실측)'!U12),'와이드(실측)'!U12+와이드U,0))</f>
        <v>0</v>
      </c>
      <c r="Z12" s="31">
        <f>IF(소장="손상민",MAX(Q12,R12)+3.2,IF(ISNUMBER('와이드(실측)'!V12),'와이드(실측)'!V12+1.5+와이드제작!Q12+1,0))</f>
        <v>0</v>
      </c>
      <c r="AA12" s="31">
        <f>'와이드(실측)'!W12+뒷날개치수더함</f>
        <v>30</v>
      </c>
      <c r="AB12" s="31">
        <f>'와이드(실측)'!X12+뒷날개치수더함</f>
        <v>25</v>
      </c>
      <c r="AC12" s="31">
        <f>'와이드(실측)'!Y12-와이드늘치</f>
        <v>12</v>
      </c>
      <c r="AD12" s="31">
        <f>IF(와이드JB하부늘치=1,AC12,'와이드(실측)'!Z12-와이드늘치)</f>
        <v>12</v>
      </c>
      <c r="AE12" s="31">
        <f>'와이드(실측)'!AA12-와이드늘치</f>
        <v>12</v>
      </c>
      <c r="AF12" s="31">
        <f>IF(와이드JB하부늘치=1,AE12,'와이드(실측)'!AB12-와이드늘치)</f>
        <v>12</v>
      </c>
      <c r="AG12" s="31">
        <f xml:space="preserve"> IF(소장&lt;&gt;"손상민",IF('와이드(실측)'!AC12&gt;0,'와이드(실측)'!AC12,C12-1.2),IF('와이드(실측)'!AC12&gt;0,'와이드(실측)'!AC12+1.2,C12) )</f>
        <v>325.8</v>
      </c>
      <c r="AH12" s="31">
        <f xml:space="preserve"> IF(소장&lt;&gt;"손상민",IF('와이드(실측)'!AD12&gt;0,'와이드(실측)'!AD12,D12-1.2),IF('와이드(실측)'!AD12&gt;0,'와이드(실측)'!AD12+1.2,D12))</f>
        <v>320.8</v>
      </c>
      <c r="AI12" s="51">
        <f t="shared" si="10"/>
        <v>0</v>
      </c>
      <c r="AJ12" s="31" t="str">
        <f t="shared" si="11"/>
        <v>1043*778.6</v>
      </c>
      <c r="AK12" s="31" t="str">
        <f t="shared" si="12"/>
        <v>2404.8*510.2</v>
      </c>
      <c r="AL12" s="31" t="str">
        <f t="shared" si="13"/>
        <v>2411.8*509.2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15</v>
      </c>
      <c r="AQ12" s="31">
        <f>'와이드(실측)'!AI12</f>
        <v>10</v>
      </c>
      <c r="AR12" s="31">
        <f>'와이드(실측)'!AJ12</f>
        <v>10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8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8</v>
      </c>
      <c r="AU12" s="20">
        <f t="shared" si="14"/>
        <v>10.047641832703482</v>
      </c>
      <c r="AV12" s="21">
        <f t="shared" si="15"/>
        <v>18.297741020910678</v>
      </c>
      <c r="AW12" s="21">
        <f t="shared" si="16"/>
        <v>18.297741020910678</v>
      </c>
      <c r="AX12" s="21">
        <f>'와이드(실측)'!M12+AS12</f>
        <v>18</v>
      </c>
      <c r="AY12" s="21">
        <f>'와이드(실측)'!N12+AS12</f>
        <v>18</v>
      </c>
      <c r="AZ12" s="20">
        <f t="shared" si="17"/>
        <v>0.29774102091067789</v>
      </c>
      <c r="BA12" s="41">
        <f t="shared" si="4"/>
        <v>1043</v>
      </c>
      <c r="BB12" s="42">
        <f>MAX(C12,D12)+MAX(G12,H12)+AA12-1.2*$AJ$3+IF(BI12=0,MAX(AE12,AC12),0)+IF(Y12=0,1.2,0)+IF(Z12=0,1.2,0)+IF(소장&lt;&gt;"손상민", Y12+Z12,IF('와이드(실측)'!U12=0,0,2.4))</f>
        <v>778.60000000000014</v>
      </c>
      <c r="BC12" s="41">
        <f t="shared" si="18"/>
        <v>510.2</v>
      </c>
      <c r="BD12" s="41">
        <f t="shared" si="19"/>
        <v>2404.8000000000002</v>
      </c>
      <c r="BE12" s="41">
        <f t="shared" si="20"/>
        <v>509.2</v>
      </c>
      <c r="BF12" s="41">
        <f t="shared" si="21"/>
        <v>2411.8000000000002</v>
      </c>
      <c r="BG12" s="6">
        <f t="shared" si="22"/>
        <v>6.6999999999999993</v>
      </c>
      <c r="BH12" s="43" t="str">
        <f t="shared" si="23"/>
        <v/>
      </c>
      <c r="BI12" s="77">
        <f t="shared" si="24"/>
        <v>0</v>
      </c>
    </row>
    <row r="13" spans="1:61" ht="26.25" customHeight="1" x14ac:dyDescent="0.3">
      <c r="A13" s="31">
        <f>'와이드(실측)'!A13</f>
        <v>0</v>
      </c>
      <c r="B13" s="31" t="str">
        <f>'와이드(실측)'!B13&amp;"F"</f>
        <v>B3F</v>
      </c>
      <c r="C13" s="31">
        <f>'와이드(실측)'!C13+와이드MH더함-IF(AND(소장="추영덕",Y13=0),1.2)</f>
        <v>322</v>
      </c>
      <c r="D13" s="31">
        <f>'와이드(실측)'!D13+와이드MH더함-IF(AND(소장="추영덕",Y13=0),1.2)</f>
        <v>322</v>
      </c>
      <c r="E13" s="135">
        <f>'와이드(실측)'!E13-와이드OP</f>
        <v>897</v>
      </c>
      <c r="F13" s="31">
        <f>'와이드(실측)'!F13-와이드R</f>
        <v>1039</v>
      </c>
      <c r="G13" s="50">
        <f>'와이드(실측)'!G13+와이드JBJD키움치수+IF(BI13=1,AC13,0)</f>
        <v>395</v>
      </c>
      <c r="H13" s="50">
        <f>'와이드(실측)'!H13+와이드JBJD키움치수+IF(BI13=1,AE13,0)</f>
        <v>395</v>
      </c>
      <c r="I13" s="50">
        <f>'와이드(실측)'!I13+MAX(AS13,AT13)+와이드JBJD키움치수+IF(BI13=1,AC13,0)</f>
        <v>413</v>
      </c>
      <c r="J13" s="50">
        <f>'와이드(실측)'!I13+MAX(AS13,AT13)+와이드JBJD키움치수+IF(BI13=1,AD13,0)-IF(와이드JB하부늘치=1,'와이드(실측)'!Y13-'와이드(실측)'!Z13,0)</f>
        <v>414</v>
      </c>
      <c r="K13" s="50">
        <f>'와이드(실측)'!J13+MAX(AS13,AT13)+와이드JBJD키움치수+IF(BI13=1,AE13,0)</f>
        <v>413</v>
      </c>
      <c r="L13" s="50">
        <f>'와이드(실측)'!J13+MAX(AS13,AT13)+와이드JBJD키움치수+IF(BI13=1,AF13,0)-IF(와이드JB하부늘치=1,'와이드(실측)'!AA13-'와이드(실측)'!AB13,0)</f>
        <v>413</v>
      </c>
      <c r="M13" s="31">
        <f t="shared" si="6"/>
        <v>38.5</v>
      </c>
      <c r="N13" s="31">
        <f t="shared" si="7"/>
        <v>38.5</v>
      </c>
      <c r="O13" s="31">
        <f>IF(S13&lt;9,'와이드(실측)'!K13+1.2,IF(ISNUMBER('와이드(실측)'!K13),'와이드(실측)'!K13+와이드C값,0))</f>
        <v>40</v>
      </c>
      <c r="P13" s="31">
        <f>IF(T13&lt;9,'와이드(실측)'!L13+1.2,IF(ISNUMBER('와이드(실측)'!L13),'와이드(실측)'!L13+와이드C값,0))</f>
        <v>40</v>
      </c>
      <c r="Q13" s="32">
        <f t="shared" si="8"/>
        <v>11.5</v>
      </c>
      <c r="R13" s="38">
        <f t="shared" si="9"/>
        <v>11.5</v>
      </c>
      <c r="S13" s="31">
        <f>IF(ISNUMBER('와이드(실측)'!O13),'와이드(실측)'!O13+와이드제작!AS13+와이드A늘림,0)</f>
        <v>10</v>
      </c>
      <c r="T13" s="31">
        <f>IF(ISNUMBER('와이드(실측)'!P13),'와이드(실측)'!P13+와이드제작!AT13+와이드A늘림,0)</f>
        <v>14</v>
      </c>
      <c r="U13" s="31">
        <f>'와이드(실측)'!Q13-와이드기둥차감</f>
        <v>2107</v>
      </c>
      <c r="V13" s="31">
        <f>'와이드(실측)'!R13-와이드기둥차감</f>
        <v>2090</v>
      </c>
      <c r="W13" s="31">
        <f>'와이드(실측)'!S13-와이드기둥차감</f>
        <v>2099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50</v>
      </c>
      <c r="Z13" s="31">
        <f>IF(소장="손상민",MAX(Q13,R13)+3.2,IF(ISNUMBER('와이드(실측)'!V13),'와이드(실측)'!V13+1.5+와이드제작!Q13+1,0))</f>
        <v>19</v>
      </c>
      <c r="AA13" s="31">
        <f>'와이드(실측)'!W13+뒷날개치수더함</f>
        <v>30</v>
      </c>
      <c r="AB13" s="31">
        <f>'와이드(실측)'!X13+뒷날개치수더함</f>
        <v>25</v>
      </c>
      <c r="AC13" s="31">
        <f>'와이드(실측)'!Y13-와이드늘치</f>
        <v>13</v>
      </c>
      <c r="AD13" s="31">
        <f>IF(와이드JB하부늘치=1,AC13,'와이드(실측)'!Z13-와이드늘치)</f>
        <v>13</v>
      </c>
      <c r="AE13" s="31">
        <f>'와이드(실측)'!AA13-와이드늘치</f>
        <v>11</v>
      </c>
      <c r="AF13" s="31">
        <f>IF(와이드JB하부늘치=1,AE13,'와이드(실측)'!AB13-와이드늘치)</f>
        <v>11</v>
      </c>
      <c r="AG13" s="31">
        <f xml:space="preserve"> IF(소장&lt;&gt;"손상민",IF('와이드(실측)'!AC13&gt;0,'와이드(실측)'!AC13,C13-1.2),IF('와이드(실측)'!AC13&gt;0,'와이드(실측)'!AC13+1.2,C13) )</f>
        <v>320.8</v>
      </c>
      <c r="AH13" s="31">
        <f xml:space="preserve"> IF(소장&lt;&gt;"손상민",IF('와이드(실측)'!AD13&gt;0,'와이드(실측)'!AD13,D13-1.2),IF('와이드(실측)'!AD13&gt;0,'와이드(실측)'!AD13+1.2,D13))</f>
        <v>320.8</v>
      </c>
      <c r="AI13" s="51">
        <f t="shared" si="10"/>
        <v>7.5</v>
      </c>
      <c r="AJ13" s="31" t="str">
        <f t="shared" si="11"/>
        <v>1116*824.2</v>
      </c>
      <c r="AK13" s="31" t="str">
        <f t="shared" si="12"/>
        <v>2427.8*497.2</v>
      </c>
      <c r="AL13" s="31" t="str">
        <f t="shared" si="13"/>
        <v>2419.8*498.2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0</v>
      </c>
      <c r="AQ13" s="31">
        <f>'와이드(실측)'!AI13</f>
        <v>0</v>
      </c>
      <c r="AR13" s="31">
        <f>'와이드(실측)'!AJ13</f>
        <v>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10.18992306246332</v>
      </c>
      <c r="AV13" s="21">
        <f t="shared" si="15"/>
        <v>11.485642652284525</v>
      </c>
      <c r="AW13" s="21">
        <f t="shared" si="16"/>
        <v>11.485642652284525</v>
      </c>
      <c r="AX13" s="21">
        <f>'와이드(실측)'!M13+AS13</f>
        <v>11</v>
      </c>
      <c r="AY13" s="21">
        <f>'와이드(실측)'!N13+AS13</f>
        <v>11</v>
      </c>
      <c r="AZ13" s="20">
        <f t="shared" si="17"/>
        <v>0.48564265228452541</v>
      </c>
      <c r="BA13" s="41">
        <f t="shared" si="4"/>
        <v>1116</v>
      </c>
      <c r="BB13" s="42">
        <f>MAX(C13,D13)+MAX(G13,H13)+AA13-1.2*$AJ$3+IF(BI13=0,MAX(AE13,AC13),0)+IF(Y13=0,1.2,0)+IF(Z13=0,1.2,0)+IF(소장&lt;&gt;"손상민", Y13+Z13,IF('와이드(실측)'!U13=0,0,2.4))</f>
        <v>824.2</v>
      </c>
      <c r="BC13" s="41">
        <f t="shared" si="18"/>
        <v>497.2</v>
      </c>
      <c r="BD13" s="41">
        <f t="shared" si="19"/>
        <v>2427.8000000000002</v>
      </c>
      <c r="BE13" s="41">
        <f t="shared" si="20"/>
        <v>498.2</v>
      </c>
      <c r="BF13" s="41">
        <f t="shared" si="21"/>
        <v>2419.8000000000002</v>
      </c>
      <c r="BG13" s="6">
        <f t="shared" si="22"/>
        <v>6.5</v>
      </c>
      <c r="BH13" s="43" t="str">
        <f t="shared" si="23"/>
        <v/>
      </c>
      <c r="BI13" s="77">
        <f t="shared" si="24"/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:AI13">
    <cfRule type="cellIs" dxfId="85" priority="52" operator="greaterThan">
      <formula>3</formula>
    </cfRule>
  </conditionalFormatting>
  <conditionalFormatting sqref="F7:F13">
    <cfRule type="cellIs" dxfId="84" priority="39" operator="greaterThan">
      <formula>1210</formula>
    </cfRule>
  </conditionalFormatting>
  <conditionalFormatting sqref="I7:L13 C7:D13">
    <cfRule type="cellIs" dxfId="83" priority="38" operator="greaterThan">
      <formula>500</formula>
    </cfRule>
  </conditionalFormatting>
  <conditionalFormatting sqref="C7:D13">
    <cfRule type="cellIs" dxfId="82" priority="36" operator="notEqual">
      <formula>$D7</formula>
    </cfRule>
  </conditionalFormatting>
  <conditionalFormatting sqref="D7:D13">
    <cfRule type="cellIs" dxfId="81" priority="35" operator="notEqual">
      <formula>$C7</formula>
    </cfRule>
  </conditionalFormatting>
  <conditionalFormatting sqref="AO7:AR13">
    <cfRule type="cellIs" dxfId="80" priority="17" operator="greaterThan">
      <formula>1.2</formula>
    </cfRule>
  </conditionalFormatting>
  <conditionalFormatting sqref="AO7:AO13">
    <cfRule type="cellIs" dxfId="79" priority="16" operator="greaterThan">
      <formula>0</formula>
    </cfRule>
  </conditionalFormatting>
  <conditionalFormatting sqref="G7:G13">
    <cfRule type="cellIs" dxfId="78" priority="14" operator="notEqual">
      <formula>H7</formula>
    </cfRule>
  </conditionalFormatting>
  <conditionalFormatting sqref="H7:H13">
    <cfRule type="cellIs" dxfId="77" priority="13" operator="notEqual">
      <formula>G7</formula>
    </cfRule>
  </conditionalFormatting>
  <conditionalFormatting sqref="I7:I13">
    <cfRule type="cellIs" dxfId="76" priority="12" operator="notEqual">
      <formula>J7</formula>
    </cfRule>
  </conditionalFormatting>
  <conditionalFormatting sqref="J7:J13">
    <cfRule type="cellIs" dxfId="75" priority="11" operator="notEqual">
      <formula>I7</formula>
    </cfRule>
  </conditionalFormatting>
  <conditionalFormatting sqref="K7:K13">
    <cfRule type="cellIs" dxfId="74" priority="10" operator="notEqual">
      <formula>L7</formula>
    </cfRule>
  </conditionalFormatting>
  <conditionalFormatting sqref="L7:L13">
    <cfRule type="cellIs" dxfId="73" priority="9" operator="notEqual">
      <formula>K7</formula>
    </cfRule>
  </conditionalFormatting>
  <conditionalFormatting sqref="AG7:AG13">
    <cfRule type="cellIs" dxfId="72" priority="8" operator="notEqual">
      <formula>AH7</formula>
    </cfRule>
  </conditionalFormatting>
  <conditionalFormatting sqref="AH7:AH13">
    <cfRule type="cellIs" dxfId="71" priority="7" operator="notEqual">
      <formula>AG7</formula>
    </cfRule>
  </conditionalFormatting>
  <conditionalFormatting sqref="AC7:AF13">
    <cfRule type="expression" dxfId="70" priority="6">
      <formula>$BI7</formula>
    </cfRule>
  </conditionalFormatting>
  <conditionalFormatting sqref="Y7:Y13">
    <cfRule type="expression" dxfId="69" priority="2">
      <formula>소장="손상민"</formula>
    </cfRule>
  </conditionalFormatting>
  <conditionalFormatting sqref="Z7:Z13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3" t="str">
        <f>정보!B3</f>
        <v>(멍텅구리) 실측서 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47"/>
      <c r="H3" s="247"/>
      <c r="I3" s="244"/>
      <c r="J3" s="244"/>
      <c r="K3" s="245"/>
      <c r="L3" s="245"/>
      <c r="M3" s="246"/>
      <c r="N3" s="246"/>
      <c r="O3" s="246"/>
      <c r="P3" s="241" t="s">
        <v>97</v>
      </c>
      <c r="Q3" s="241"/>
      <c r="R3" s="242"/>
      <c r="S3" s="242"/>
      <c r="T3" s="243"/>
      <c r="U3" s="243"/>
    </row>
    <row r="4" spans="1:39" ht="33" customHeight="1" x14ac:dyDescent="0.3">
      <c r="A4" s="248" t="str">
        <f>정보!B11</f>
        <v>제작치수 반영 : JB/JD +(3 ),  늘어난치수K -(3),  C + (0),  U +(0), OP - (3), R - (0),  기둥차감 - (0), 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6" t="s">
        <v>22</v>
      </c>
      <c r="T5" s="236" t="s">
        <v>23</v>
      </c>
      <c r="U5" s="238" t="s">
        <v>21</v>
      </c>
      <c r="V5" s="239"/>
      <c r="W5" s="239"/>
      <c r="X5" s="240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7"/>
      <c r="T6" s="237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L5:L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J5:J6"/>
    <mergeCell ref="G3:H3"/>
    <mergeCell ref="K5:K6"/>
    <mergeCell ref="O5:O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P11" sqref="P1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3" t="str">
        <f>정보!C3</f>
        <v>(멍텅구리) 제작변환 자료(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3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3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의정부 골드프라자,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3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1</v>
      </c>
      <c r="X3" s="277"/>
      <c r="AA3" s="212" t="s">
        <v>73</v>
      </c>
      <c r="AB3" s="212"/>
      <c r="AC3" s="102">
        <v>3</v>
      </c>
      <c r="AD3" s="4" t="s">
        <v>74</v>
      </c>
      <c r="AE3" s="104">
        <v>4</v>
      </c>
      <c r="AF3" s="251" t="s">
        <v>320</v>
      </c>
      <c r="AG3" s="252"/>
      <c r="AH3" s="198"/>
      <c r="AI3" s="253" t="e">
        <f>AN7</f>
        <v>#DIV/0!</v>
      </c>
      <c r="AJ3" s="192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+(3 ),  늘어난치수K -(3),  C + (0),  U +(0), OP - (3), R - (0),  기둥차감 - (0),  A + (1)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306</v>
      </c>
      <c r="Z4" s="256"/>
      <c r="AA4" s="257">
        <f>'멍텅(실측)'!U7</f>
        <v>0</v>
      </c>
      <c r="AB4" s="257"/>
      <c r="AC4" s="9"/>
      <c r="AD4" s="184">
        <f ca="1">TODAY()</f>
        <v>45677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6" t="s">
        <v>62</v>
      </c>
      <c r="L5" s="236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6" t="s">
        <v>22</v>
      </c>
      <c r="X5" s="236" t="s">
        <v>23</v>
      </c>
      <c r="Y5" s="238" t="s">
        <v>21</v>
      </c>
      <c r="Z5" s="239"/>
      <c r="AA5" s="239"/>
      <c r="AB5" s="240"/>
      <c r="AC5" s="166" t="s">
        <v>25</v>
      </c>
      <c r="AD5" s="262" t="s">
        <v>34</v>
      </c>
      <c r="AE5" s="166" t="s">
        <v>35</v>
      </c>
      <c r="AF5" s="179" t="s">
        <v>203</v>
      </c>
      <c r="AG5" s="179"/>
      <c r="AH5" s="179"/>
      <c r="AI5" s="169" t="s">
        <v>212</v>
      </c>
      <c r="AJ5" s="170"/>
      <c r="AK5" s="177" t="s">
        <v>300</v>
      </c>
      <c r="AL5" s="177" t="s">
        <v>301</v>
      </c>
      <c r="AM5" s="261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7"/>
      <c r="L6" s="237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7"/>
      <c r="X6" s="237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-3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3" t="str">
        <f>정보!B4</f>
        <v>(쪽쟘) 실측서 ( 의정부 골드프라자 ) _이만희소장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의정부 골드프라자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(3),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4" t="s">
        <v>119</v>
      </c>
      <c r="C5" s="284" t="s">
        <v>120</v>
      </c>
      <c r="D5" s="284" t="s">
        <v>121</v>
      </c>
      <c r="E5" s="284" t="s">
        <v>122</v>
      </c>
      <c r="F5" s="284" t="s">
        <v>123</v>
      </c>
      <c r="G5" s="284" t="s">
        <v>124</v>
      </c>
      <c r="H5" s="284" t="s">
        <v>125</v>
      </c>
      <c r="I5" s="284" t="s">
        <v>126</v>
      </c>
      <c r="J5" s="284" t="s">
        <v>128</v>
      </c>
      <c r="K5" s="284" t="s">
        <v>15</v>
      </c>
      <c r="L5" s="284" t="s">
        <v>129</v>
      </c>
      <c r="M5" s="284" t="s">
        <v>130</v>
      </c>
      <c r="N5" s="284" t="s">
        <v>131</v>
      </c>
      <c r="O5" s="284" t="s">
        <v>132</v>
      </c>
      <c r="P5" s="285" t="s">
        <v>133</v>
      </c>
      <c r="Q5" s="285" t="s">
        <v>134</v>
      </c>
      <c r="R5" s="284" t="s">
        <v>135</v>
      </c>
      <c r="S5" s="284"/>
      <c r="T5" s="166" t="s">
        <v>203</v>
      </c>
      <c r="U5" s="166"/>
      <c r="V5" s="166"/>
    </row>
    <row r="6" spans="1:22" ht="25.9" customHeight="1" x14ac:dyDescent="0.3">
      <c r="A6" s="287"/>
      <c r="B6" s="284"/>
      <c r="C6" s="284"/>
      <c r="D6" s="284"/>
      <c r="E6" s="284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3" t="str">
        <f>정보!B1 &amp; " (쪽쟘제작치수)  " &amp; 정보!B6 &amp;" 소장"</f>
        <v>의정부 골드프라자 (쪽쟘제작치수)  이만희 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7" t="s">
        <v>140</v>
      </c>
      <c r="F3" s="247"/>
      <c r="G3" s="62">
        <v>0</v>
      </c>
      <c r="H3" s="23" t="s">
        <v>141</v>
      </c>
      <c r="I3" s="296">
        <v>3</v>
      </c>
      <c r="J3" s="296"/>
      <c r="K3" s="63"/>
      <c r="L3" s="63"/>
      <c r="M3" s="245" t="s">
        <v>82</v>
      </c>
      <c r="N3" s="245"/>
      <c r="O3" s="245"/>
      <c r="P3" s="297">
        <v>0</v>
      </c>
      <c r="Q3" s="297"/>
      <c r="R3" s="242" t="s">
        <v>90</v>
      </c>
      <c r="S3" s="242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248" t="str">
        <f>정보!B12</f>
        <v>제작치수 반영 : JB/JD +(0 ),  늘어난치수K -(0), OP - (3),  기둥차감 - (0)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192" t="s">
        <v>235</v>
      </c>
      <c r="Z4" s="192"/>
      <c r="AA4" s="193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12"/>
      <c r="B6" s="212"/>
      <c r="C6" s="212"/>
      <c r="D6" s="212"/>
      <c r="E6" s="212"/>
      <c r="F6" s="212"/>
      <c r="G6" s="212"/>
      <c r="H6" s="212"/>
      <c r="I6" s="212"/>
      <c r="J6" s="212"/>
      <c r="K6" s="236"/>
      <c r="L6" s="236"/>
      <c r="M6" s="291"/>
      <c r="N6" s="291"/>
      <c r="O6" s="212"/>
      <c r="P6" s="212"/>
      <c r="Q6" s="212"/>
      <c r="R6" s="212"/>
      <c r="S6" s="212"/>
      <c r="T6" s="289"/>
      <c r="U6" s="236"/>
      <c r="V6" s="236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-3*-3.6</v>
      </c>
      <c r="D7" s="50">
        <f>'쪽쟘(실측)'!C7-쪽쟘OP차감</f>
        <v>-3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-3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-3*-3.6</v>
      </c>
      <c r="D8" s="50">
        <f>'쪽쟘(실측)'!C8-쪽쟘OP차감</f>
        <v>-3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-3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-3*-3.6</v>
      </c>
      <c r="D9" s="50">
        <f>'쪽쟘(실측)'!C9-쪽쟘OP차감</f>
        <v>-3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-3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-3*-3.6</v>
      </c>
      <c r="D10" s="50">
        <f>'쪽쟘(실측)'!C10-쪽쟘OP차감</f>
        <v>-3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-3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-3*-3.6</v>
      </c>
      <c r="D11" s="50">
        <f>'쪽쟘(실측)'!C11-쪽쟘OP차감</f>
        <v>-3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-3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-3*-3.6</v>
      </c>
      <c r="D12" s="50">
        <f>'쪽쟘(실측)'!C12-쪽쟘OP차감</f>
        <v>-3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-3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-3*-3.6</v>
      </c>
      <c r="D13" s="50">
        <f>'쪽쟘(실측)'!C13-쪽쟘OP차감</f>
        <v>-3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-3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-3*-3.6</v>
      </c>
      <c r="D14" s="50">
        <f>'쪽쟘(실측)'!C14-쪽쟘OP차감</f>
        <v>-3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-3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-3*-3.6</v>
      </c>
      <c r="D15" s="50">
        <f>'쪽쟘(실측)'!C15-쪽쟘OP차감</f>
        <v>-3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-3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-3*-3.6</v>
      </c>
      <c r="D16" s="50">
        <f>'쪽쟘(실측)'!C16-쪽쟘OP차감</f>
        <v>-3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-3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-3*-3.6</v>
      </c>
      <c r="D17" s="50">
        <f>'쪽쟘(실측)'!C17-쪽쟘OP차감</f>
        <v>-3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-3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-3*-3.6</v>
      </c>
      <c r="D18" s="50">
        <f>'쪽쟘(실측)'!C18-쪽쟘OP차감</f>
        <v>-3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-3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-3*-3.6</v>
      </c>
      <c r="D19" s="50">
        <f>'쪽쟘(실측)'!C19-쪽쟘OP차감</f>
        <v>-3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-3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-3*-3.6</v>
      </c>
      <c r="D20" s="50">
        <f>'쪽쟘(실측)'!C20-쪽쟘OP차감</f>
        <v>-3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-3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-3*-3.6</v>
      </c>
      <c r="D21" s="50">
        <f>'쪽쟘(실측)'!C21-쪽쟘OP차감</f>
        <v>-3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-3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-3*-3.6</v>
      </c>
      <c r="D22" s="50">
        <f>'쪽쟘(실측)'!C22-쪽쟘OP차감</f>
        <v>-3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-3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-3*-3.6</v>
      </c>
      <c r="D23" s="50">
        <f>'쪽쟘(실측)'!C23-쪽쟘OP차감</f>
        <v>-3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-3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-3*-3.6</v>
      </c>
      <c r="D24" s="50">
        <f>'쪽쟘(실측)'!C24-쪽쟘OP차감</f>
        <v>-3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-3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-3*-3.6</v>
      </c>
      <c r="D25" s="50">
        <f>'쪽쟘(실측)'!C25-쪽쟘OP차감</f>
        <v>-3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-3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의정부 골드프라자 (제작치수 샤링작지) 이만희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2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1 매</v>
      </c>
      <c r="H3" s="293"/>
      <c r="I3" s="296">
        <v>0</v>
      </c>
      <c r="J3" s="296"/>
      <c r="K3" s="63"/>
      <c r="L3" s="63"/>
      <c r="M3" s="245" t="s">
        <v>161</v>
      </c>
      <c r="N3" s="245"/>
      <c r="O3" s="245"/>
      <c r="P3" s="297">
        <v>0</v>
      </c>
      <c r="Q3" s="297"/>
      <c r="R3" s="242" t="s">
        <v>162</v>
      </c>
      <c r="S3" s="242"/>
      <c r="T3" s="64"/>
      <c r="U3" s="298">
        <v>4</v>
      </c>
      <c r="V3" s="298"/>
      <c r="W3" s="65"/>
      <c r="X3" s="65"/>
    </row>
    <row r="4" spans="1:31" ht="9.75" customHeight="1" x14ac:dyDescent="0.3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12"/>
      <c r="B6" s="212"/>
      <c r="C6" s="212"/>
      <c r="D6" s="212"/>
      <c r="E6" s="212"/>
      <c r="F6" s="212"/>
      <c r="G6" s="212"/>
      <c r="H6" s="212"/>
      <c r="I6" s="300"/>
      <c r="J6" s="212"/>
      <c r="K6" s="236"/>
      <c r="L6" s="236"/>
      <c r="M6" s="291"/>
      <c r="N6" s="291"/>
      <c r="O6" s="212"/>
      <c r="P6" s="212"/>
      <c r="Q6" s="212"/>
      <c r="R6" s="212"/>
      <c r="S6" s="212"/>
      <c r="T6" s="289"/>
      <c r="U6" s="236"/>
      <c r="V6" s="236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4" t="str">
        <f>정보!E2</f>
        <v>(SO와이드) 실측서 ( 의정부 골드프라자 ) _이만희소장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(2), JB/JD +(3 ),  늘어난치수K -(3),  C + (0),   U + (0), OP - (3), R - (0),  기둥차감 - (0), A + (1)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2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A7" sqref="A7:XFD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의정부 골드프라자 ) _이만희소장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3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03" t="s">
        <v>113</v>
      </c>
      <c r="K2" s="204"/>
      <c r="L2" s="204"/>
      <c r="M2" s="204"/>
      <c r="N2" s="204"/>
      <c r="O2" s="204"/>
      <c r="P2" s="205">
        <v>1</v>
      </c>
      <c r="Q2" s="205"/>
      <c r="R2" s="196" t="s">
        <v>89</v>
      </c>
      <c r="S2" s="216"/>
      <c r="T2" s="217">
        <v>0</v>
      </c>
      <c r="U2" s="217"/>
      <c r="V2" s="165" t="s">
        <v>83</v>
      </c>
      <c r="W2" s="219"/>
      <c r="X2" s="219"/>
      <c r="Y2" s="220">
        <v>0</v>
      </c>
      <c r="Z2" s="220"/>
      <c r="AA2" s="312">
        <f>정보!B5</f>
        <v>0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6" t="s">
        <v>90</v>
      </c>
      <c r="AM2" s="216"/>
      <c r="AN2" s="308">
        <v>3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196" t="s">
        <v>228</v>
      </c>
      <c r="K3" s="196"/>
      <c r="L3" s="196"/>
      <c r="M3" s="196"/>
      <c r="N3" s="196"/>
      <c r="O3" s="196"/>
      <c r="P3" s="206">
        <v>3</v>
      </c>
      <c r="Q3" s="206"/>
      <c r="R3" s="216" t="s">
        <v>77</v>
      </c>
      <c r="S3" s="216"/>
      <c r="T3" s="223">
        <v>0</v>
      </c>
      <c r="U3" s="223"/>
      <c r="V3" s="224" t="s">
        <v>227</v>
      </c>
      <c r="W3" s="224"/>
      <c r="X3" s="224"/>
      <c r="Y3" s="225">
        <f>BN7</f>
        <v>1</v>
      </c>
      <c r="Z3" s="225"/>
      <c r="AA3" s="320" t="s">
        <v>78</v>
      </c>
      <c r="AB3" s="320"/>
      <c r="AC3" s="315">
        <v>1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8" t="s">
        <v>230</v>
      </c>
      <c r="AR3" s="188"/>
      <c r="AS3" s="190" t="s">
        <v>321</v>
      </c>
      <c r="AT3" s="191"/>
      <c r="AU3" s="194" t="e">
        <f>AY7</f>
        <v>#DIV/0!</v>
      </c>
      <c r="AV3" s="195"/>
      <c r="BN3" s="177" t="s">
        <v>253</v>
      </c>
    </row>
    <row r="4" spans="1:66" ht="33" customHeight="1" x14ac:dyDescent="0.3">
      <c r="A4" s="248" t="str">
        <f>정보!B10</f>
        <v>제작치수 반영 : MH + (2), JB/JD +(3 ),  늘어난치수K -(3),  C + (0),   U + (0), OP - (3), R - (0),  기둥차감 - (0),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306" t="s">
        <v>307</v>
      </c>
      <c r="AH4" s="306"/>
      <c r="AI4" s="256">
        <f>'SO와이드(실측)'!AA7</f>
        <v>0</v>
      </c>
      <c r="AJ4" s="256"/>
      <c r="AK4" s="184">
        <f ca="1">TODAY()</f>
        <v>45677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2" t="s">
        <v>235</v>
      </c>
      <c r="AU4" s="192"/>
      <c r="AV4" s="193"/>
      <c r="BN4" s="178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1" t="s">
        <v>4</v>
      </c>
      <c r="I5" s="265" t="s">
        <v>42</v>
      </c>
      <c r="J5" s="208" t="s">
        <v>105</v>
      </c>
      <c r="K5" s="208" t="s">
        <v>106</v>
      </c>
      <c r="L5" s="181" t="s">
        <v>107</v>
      </c>
      <c r="M5" s="181" t="s">
        <v>108</v>
      </c>
      <c r="N5" s="316" t="s">
        <v>240</v>
      </c>
      <c r="O5" s="318" t="s">
        <v>241</v>
      </c>
      <c r="P5" s="212" t="s">
        <v>71</v>
      </c>
      <c r="Q5" s="212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0" t="s">
        <v>14</v>
      </c>
      <c r="Y5" s="210" t="s">
        <v>15</v>
      </c>
      <c r="Z5" s="211" t="s">
        <v>16</v>
      </c>
      <c r="AA5" s="211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1" t="s">
        <v>79</v>
      </c>
      <c r="AH5" s="222"/>
      <c r="AI5" s="222"/>
      <c r="AJ5" s="222"/>
      <c r="AK5" s="214" t="s">
        <v>91</v>
      </c>
      <c r="AL5" s="214" t="s">
        <v>92</v>
      </c>
      <c r="AM5" s="229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7" t="s">
        <v>100</v>
      </c>
      <c r="AX5" s="177" t="s">
        <v>101</v>
      </c>
      <c r="AY5" s="325" t="s">
        <v>244</v>
      </c>
      <c r="AZ5" s="324" t="s">
        <v>245</v>
      </c>
      <c r="BA5" s="231" t="s">
        <v>84</v>
      </c>
      <c r="BB5" s="234" t="s">
        <v>102</v>
      </c>
      <c r="BC5" s="233" t="s">
        <v>94</v>
      </c>
      <c r="BD5" s="233" t="s">
        <v>95</v>
      </c>
      <c r="BE5" s="177" t="s">
        <v>93</v>
      </c>
      <c r="BH5" s="185" t="s">
        <v>28</v>
      </c>
      <c r="BI5" s="185"/>
      <c r="BJ5" s="185" t="s">
        <v>29</v>
      </c>
      <c r="BK5" s="185"/>
      <c r="BL5" s="6" t="s">
        <v>50</v>
      </c>
      <c r="BM5" s="176" t="s">
        <v>104</v>
      </c>
      <c r="BN5" s="175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1"/>
      <c r="I6" s="265"/>
      <c r="J6" s="209"/>
      <c r="K6" s="209"/>
      <c r="L6" s="182"/>
      <c r="M6" s="182"/>
      <c r="N6" s="317"/>
      <c r="O6" s="319"/>
      <c r="P6" s="213"/>
      <c r="Q6" s="213"/>
      <c r="R6" s="165"/>
      <c r="S6" s="165"/>
      <c r="T6" s="165"/>
      <c r="U6" s="165"/>
      <c r="V6" s="165"/>
      <c r="W6" s="165"/>
      <c r="X6" s="210"/>
      <c r="Y6" s="210"/>
      <c r="Z6" s="211"/>
      <c r="AA6" s="211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5"/>
      <c r="AL6" s="215"/>
      <c r="AM6" s="230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8"/>
      <c r="AX6" s="178"/>
      <c r="AY6" s="324"/>
      <c r="AZ6" s="324"/>
      <c r="BA6" s="232"/>
      <c r="BB6" s="235"/>
      <c r="BC6" s="233"/>
      <c r="BD6" s="233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6"/>
      <c r="BN6" s="175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-3</v>
      </c>
      <c r="F7" s="31">
        <f>'SO와이드(실측)'!F7-SO와이드OP</f>
        <v>-3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3" t="str">
        <f>정보!E3</f>
        <v>(SO멍텅구리) 실측서 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"/>
      <c r="H3" s="247"/>
      <c r="I3" s="247"/>
      <c r="J3" s="244"/>
      <c r="K3" s="244"/>
      <c r="L3" s="245"/>
      <c r="M3" s="245"/>
      <c r="N3" s="246"/>
      <c r="O3" s="246"/>
      <c r="P3" s="246"/>
      <c r="Q3" s="241" t="s">
        <v>97</v>
      </c>
      <c r="R3" s="241"/>
      <c r="S3" s="242"/>
      <c r="T3" s="242"/>
      <c r="U3" s="243"/>
      <c r="V3" s="243"/>
      <c r="W3" s="243"/>
    </row>
    <row r="4" spans="1:41" ht="33" customHeight="1" x14ac:dyDescent="0.3">
      <c r="A4" s="248" t="str">
        <f>정보!B14</f>
        <v>제작치수 반영 : JB/JD +(3 ),  늘어난치수K -(3),  C + (0),  U +(0), OP1/OP2 - (3), R - (0),  기둥차감 - (0),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171"/>
      <c r="X4" s="171"/>
      <c r="Y4" s="171"/>
      <c r="Z4" s="171"/>
      <c r="AA4" s="171"/>
      <c r="AB4" s="171"/>
      <c r="AC4" s="172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6" t="s">
        <v>22</v>
      </c>
      <c r="U5" s="303" t="s">
        <v>242</v>
      </c>
      <c r="V5" s="304" t="s">
        <v>238</v>
      </c>
      <c r="W5" s="238" t="s">
        <v>21</v>
      </c>
      <c r="X5" s="239"/>
      <c r="Y5" s="239"/>
      <c r="Z5" s="240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7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3" t="str">
        <f>정보!F3</f>
        <v>(SO멍텅구리) 제작변환 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3</v>
      </c>
      <c r="C2" s="332" t="s">
        <v>290</v>
      </c>
      <c r="D2" s="332"/>
      <c r="E2" s="116">
        <v>0</v>
      </c>
      <c r="F2" s="1"/>
      <c r="G2" s="1"/>
      <c r="H2" s="199" t="s">
        <v>81</v>
      </c>
      <c r="I2" s="199"/>
      <c r="J2" s="199"/>
      <c r="K2" s="327">
        <v>0</v>
      </c>
      <c r="L2" s="327"/>
      <c r="M2" s="327"/>
      <c r="N2" s="327"/>
      <c r="O2" s="204" t="s">
        <v>113</v>
      </c>
      <c r="P2" s="204"/>
      <c r="Q2" s="204"/>
      <c r="R2" s="204"/>
      <c r="S2" s="328">
        <v>1</v>
      </c>
      <c r="T2" s="328"/>
      <c r="U2" s="216" t="s">
        <v>103</v>
      </c>
      <c r="V2" s="216"/>
      <c r="W2" s="143">
        <v>0</v>
      </c>
      <c r="X2" s="204" t="s">
        <v>88</v>
      </c>
      <c r="Y2" s="204"/>
      <c r="Z2" s="329">
        <v>0</v>
      </c>
      <c r="AA2" s="329"/>
      <c r="AB2" s="22"/>
      <c r="AC2" s="196" t="s">
        <v>82</v>
      </c>
      <c r="AD2" s="216"/>
      <c r="AE2" s="330">
        <v>0</v>
      </c>
      <c r="AF2" s="330"/>
      <c r="AG2" s="142" t="s">
        <v>90</v>
      </c>
      <c r="AH2" s="331">
        <v>3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의정부 골드프라자,   (재질) : HL 1.2T</v>
      </c>
      <c r="B3" s="2"/>
      <c r="C3" s="2"/>
      <c r="D3" s="2"/>
      <c r="E3" s="2"/>
      <c r="F3" s="2"/>
      <c r="G3" s="2"/>
      <c r="H3" s="155"/>
      <c r="I3" s="216" t="s">
        <v>76</v>
      </c>
      <c r="J3" s="216"/>
      <c r="K3" s="206">
        <v>3</v>
      </c>
      <c r="L3" s="206"/>
      <c r="M3" s="206"/>
      <c r="N3" s="206"/>
      <c r="O3" s="216" t="s">
        <v>77</v>
      </c>
      <c r="P3" s="216"/>
      <c r="Q3" s="223">
        <v>0</v>
      </c>
      <c r="R3" s="223"/>
      <c r="S3" s="204" t="s">
        <v>227</v>
      </c>
      <c r="T3" s="204"/>
      <c r="U3" s="204"/>
      <c r="V3" s="335">
        <v>1</v>
      </c>
      <c r="W3" s="335"/>
      <c r="X3" s="204" t="s">
        <v>78</v>
      </c>
      <c r="Y3" s="204"/>
      <c r="Z3" s="326">
        <v>1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322</v>
      </c>
      <c r="AK3" s="252"/>
      <c r="AL3" s="198"/>
      <c r="AM3" s="338" t="e">
        <f>AR7</f>
        <v>#DIV/0!</v>
      </c>
      <c r="AN3" s="171"/>
      <c r="AO3" s="25"/>
      <c r="AP3" s="25"/>
      <c r="AQ3" s="24"/>
      <c r="AW3" s="24"/>
    </row>
    <row r="4" spans="1:58" ht="33" customHeight="1" x14ac:dyDescent="0.3">
      <c r="A4" s="248" t="str">
        <f>'SO멍텅(실측)'!A4:AA4</f>
        <v>제작치수 반영 : JB/JD +(3 ),  늘어난치수K -(3),  C + (0),  U +(0), OP1/OP2 - (3), R - (0),  기둥차감 - (0),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336" t="s">
        <v>308</v>
      </c>
      <c r="AD4" s="336"/>
      <c r="AE4" s="337">
        <f>'SO멍텅(실측)'!W7</f>
        <v>0</v>
      </c>
      <c r="AF4" s="337"/>
      <c r="AG4" s="158"/>
      <c r="AH4" s="334">
        <f ca="1">TODAY()</f>
        <v>45677</v>
      </c>
      <c r="AI4" s="192"/>
      <c r="AJ4" s="192" t="s">
        <v>235</v>
      </c>
      <c r="AK4" s="192"/>
      <c r="AL4" s="193"/>
      <c r="AM4" s="162" t="s">
        <v>215</v>
      </c>
      <c r="AN4" s="162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6" t="s">
        <v>62</v>
      </c>
      <c r="O5" s="236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6" t="s">
        <v>22</v>
      </c>
      <c r="AA5" s="303" t="s">
        <v>242</v>
      </c>
      <c r="AB5" s="304" t="s">
        <v>238</v>
      </c>
      <c r="AC5" s="238" t="s">
        <v>21</v>
      </c>
      <c r="AD5" s="239"/>
      <c r="AE5" s="239"/>
      <c r="AF5" s="240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7" t="s">
        <v>300</v>
      </c>
      <c r="AP5" s="177" t="s">
        <v>301</v>
      </c>
      <c r="AQ5" s="261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7"/>
      <c r="O6" s="237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7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-3</v>
      </c>
      <c r="D7" s="4">
        <f>'SO멍텅(실측)'!D7-SO멍텅OP</f>
        <v>-3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F7-COS(RADIANS(AR7))*H7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4" t="str">
        <f>정보!H2</f>
        <v>(4CO와이드) 실측서 ( 의정부 골드프라자 ) _이만희소장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4"/>
      <c r="AC2" s="174"/>
      <c r="AD2" s="174"/>
      <c r="AE2" s="174"/>
      <c r="AF2" s="174"/>
      <c r="AG2" s="174"/>
      <c r="AH2" s="174"/>
      <c r="AI2" s="174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4"/>
      <c r="AC3" s="174"/>
      <c r="AD3" s="174"/>
      <c r="AE3" s="174"/>
      <c r="AF3" s="174"/>
      <c r="AG3" s="174"/>
      <c r="AH3" s="174"/>
      <c r="AI3" s="174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(2), JB/JD +(3 ),  늘어난치수K -(3),  C + (0),   U + (0), OP1/OP3 - (3), R - (0),  기둥차감 - (0), A + (1)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2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C11" sqref="AC1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8" t="str">
        <f>정보!I2</f>
        <v>(4CO와이드) 제작변환 ( 의정부 골드프라자 ) _이만희소장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228"/>
      <c r="AA1" s="228"/>
      <c r="AB1" s="228"/>
      <c r="AC1" s="228"/>
      <c r="AD1" s="228"/>
      <c r="AE1" s="228"/>
      <c r="AF1" s="228"/>
      <c r="AG1" s="228"/>
      <c r="AH1" s="228"/>
      <c r="AI1" s="228"/>
      <c r="AJ1" s="228"/>
      <c r="AK1" s="228"/>
      <c r="AL1" s="228"/>
      <c r="AM1" s="228"/>
      <c r="AN1" s="228"/>
      <c r="AO1" s="228"/>
      <c r="AP1" s="228"/>
      <c r="AQ1" s="228"/>
      <c r="AR1" s="228"/>
      <c r="AS1" s="228"/>
      <c r="AT1" s="228"/>
      <c r="AU1" s="228"/>
      <c r="AV1" s="228"/>
      <c r="AW1" s="228"/>
      <c r="AX1" s="37"/>
      <c r="AY1" s="37"/>
    </row>
    <row r="2" spans="1:66" ht="29.25" customHeight="1" x14ac:dyDescent="0.3">
      <c r="A2" s="97" t="s">
        <v>96</v>
      </c>
      <c r="B2" s="139">
        <v>3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03" t="s">
        <v>113</v>
      </c>
      <c r="M2" s="204"/>
      <c r="N2" s="204"/>
      <c r="O2" s="204"/>
      <c r="P2" s="204"/>
      <c r="Q2" s="204"/>
      <c r="R2" s="205">
        <v>1</v>
      </c>
      <c r="S2" s="205"/>
      <c r="T2" s="196" t="s">
        <v>89</v>
      </c>
      <c r="U2" s="216"/>
      <c r="V2" s="217">
        <v>0</v>
      </c>
      <c r="W2" s="217"/>
      <c r="X2" s="284" t="s">
        <v>83</v>
      </c>
      <c r="Y2" s="224"/>
      <c r="Z2" s="224"/>
      <c r="AA2" s="220">
        <v>0</v>
      </c>
      <c r="AB2" s="220"/>
      <c r="AC2" s="312">
        <f>정보!B5</f>
        <v>0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6" t="s">
        <v>90</v>
      </c>
      <c r="AN2" s="216"/>
      <c r="AO2" s="343">
        <v>3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4" t="s">
        <v>228</v>
      </c>
      <c r="M3" s="204"/>
      <c r="N3" s="204"/>
      <c r="O3" s="204"/>
      <c r="P3" s="204"/>
      <c r="Q3" s="204"/>
      <c r="R3" s="206">
        <v>3</v>
      </c>
      <c r="S3" s="206"/>
      <c r="T3" s="216" t="s">
        <v>77</v>
      </c>
      <c r="U3" s="216"/>
      <c r="V3" s="223">
        <v>0</v>
      </c>
      <c r="W3" s="223"/>
      <c r="X3" s="224" t="s">
        <v>227</v>
      </c>
      <c r="Y3" s="224"/>
      <c r="Z3" s="224"/>
      <c r="AA3" s="225">
        <f>BN7</f>
        <v>1</v>
      </c>
      <c r="AB3" s="225"/>
      <c r="AC3" s="224" t="s">
        <v>78</v>
      </c>
      <c r="AD3" s="224"/>
      <c r="AE3" s="315">
        <v>1</v>
      </c>
      <c r="AF3" s="315"/>
      <c r="AJ3" s="178"/>
      <c r="AK3" s="178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8" t="s">
        <v>230</v>
      </c>
      <c r="AS3" s="188"/>
      <c r="AT3" s="342" t="s">
        <v>323</v>
      </c>
      <c r="AU3" s="342"/>
      <c r="AV3" s="194" t="e">
        <f>AZ7</f>
        <v>#DIV/0!</v>
      </c>
      <c r="AW3" s="195"/>
      <c r="BN3" s="177" t="s">
        <v>253</v>
      </c>
    </row>
    <row r="4" spans="1:66" ht="33" customHeight="1" x14ac:dyDescent="0.3">
      <c r="A4" s="248" t="str">
        <f>정보!B15</f>
        <v>제작치수 반영 : MH + (2), JB/JD +(3 ),  늘어난치수K -(3),  C + (0),   U + (0), OP1/OP3 - (3), R - (0),  기둥차감 - (0),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341" t="s">
        <v>309</v>
      </c>
      <c r="AI4" s="341"/>
      <c r="AJ4" s="341">
        <f>'4CO와이드(실측)'!AB7</f>
        <v>0</v>
      </c>
      <c r="AK4" s="341"/>
      <c r="AL4" s="184">
        <f ca="1">TODAY()</f>
        <v>45677</v>
      </c>
      <c r="AM4" s="171"/>
      <c r="AN4" s="171"/>
      <c r="AO4" s="9"/>
      <c r="AP4" s="183" t="s">
        <v>117</v>
      </c>
      <c r="AQ4" s="183"/>
      <c r="AR4" s="162" t="s">
        <v>215</v>
      </c>
      <c r="AS4" s="162"/>
      <c r="AT4" s="84"/>
      <c r="AU4" s="192" t="s">
        <v>235</v>
      </c>
      <c r="AV4" s="192"/>
      <c r="AW4" s="193"/>
      <c r="BN4" s="178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1" t="s">
        <v>41</v>
      </c>
      <c r="J5" s="265" t="s">
        <v>42</v>
      </c>
      <c r="K5" s="265" t="s">
        <v>262</v>
      </c>
      <c r="L5" s="208" t="s">
        <v>105</v>
      </c>
      <c r="M5" s="208" t="s">
        <v>106</v>
      </c>
      <c r="N5" s="181" t="s">
        <v>107</v>
      </c>
      <c r="O5" s="181" t="s">
        <v>108</v>
      </c>
      <c r="P5" s="316" t="s">
        <v>329</v>
      </c>
      <c r="Q5" s="316" t="s">
        <v>330</v>
      </c>
      <c r="R5" s="212" t="s">
        <v>71</v>
      </c>
      <c r="S5" s="212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0" t="s">
        <v>14</v>
      </c>
      <c r="AA5" s="210" t="s">
        <v>15</v>
      </c>
      <c r="AB5" s="211" t="s">
        <v>16</v>
      </c>
      <c r="AC5" s="211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1" t="s">
        <v>79</v>
      </c>
      <c r="AI5" s="222"/>
      <c r="AJ5" s="222"/>
      <c r="AK5" s="222"/>
      <c r="AL5" s="214" t="s">
        <v>91</v>
      </c>
      <c r="AM5" s="214" t="s">
        <v>92</v>
      </c>
      <c r="AN5" s="229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7" t="s">
        <v>100</v>
      </c>
      <c r="AY5" s="177" t="s">
        <v>101</v>
      </c>
      <c r="AZ5" s="178" t="s">
        <v>80</v>
      </c>
      <c r="BA5" s="231" t="s">
        <v>84</v>
      </c>
      <c r="BB5" s="234" t="s">
        <v>102</v>
      </c>
      <c r="BC5" s="233" t="s">
        <v>94</v>
      </c>
      <c r="BD5" s="233" t="s">
        <v>95</v>
      </c>
      <c r="BE5" s="177" t="s">
        <v>93</v>
      </c>
      <c r="BH5" s="185" t="s">
        <v>28</v>
      </c>
      <c r="BI5" s="185"/>
      <c r="BJ5" s="185" t="s">
        <v>29</v>
      </c>
      <c r="BK5" s="185"/>
      <c r="BL5" s="6" t="s">
        <v>50</v>
      </c>
      <c r="BM5" s="176" t="s">
        <v>104</v>
      </c>
      <c r="BN5" s="175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1"/>
      <c r="J6" s="265"/>
      <c r="K6" s="265"/>
      <c r="L6" s="209"/>
      <c r="M6" s="209"/>
      <c r="N6" s="182"/>
      <c r="O6" s="182"/>
      <c r="P6" s="317"/>
      <c r="Q6" s="317"/>
      <c r="R6" s="213"/>
      <c r="S6" s="213"/>
      <c r="T6" s="165"/>
      <c r="U6" s="165"/>
      <c r="V6" s="165"/>
      <c r="W6" s="165"/>
      <c r="X6" s="165"/>
      <c r="Y6" s="165"/>
      <c r="Z6" s="210"/>
      <c r="AA6" s="210"/>
      <c r="AB6" s="211"/>
      <c r="AC6" s="211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5"/>
      <c r="AM6" s="215"/>
      <c r="AN6" s="230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232"/>
      <c r="BB6" s="235"/>
      <c r="BC6" s="233"/>
      <c r="BD6" s="233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6"/>
      <c r="BN6" s="175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-1.5</v>
      </c>
      <c r="F7" s="31">
        <f>'4CO와이드(실측)'!F7</f>
        <v>0</v>
      </c>
      <c r="G7" s="31">
        <f>'4CO와이드(실측)'!G7-CO4와이드OP/2</f>
        <v>-1.5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3" t="str">
        <f>정보!H3</f>
        <v>(4CO멍텅구리) 실측서 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47"/>
      <c r="K3" s="247"/>
      <c r="L3" s="244"/>
      <c r="M3" s="244"/>
      <c r="N3" s="245"/>
      <c r="O3" s="245"/>
      <c r="P3" s="246"/>
      <c r="Q3" s="246"/>
      <c r="R3" s="246"/>
      <c r="S3" s="241" t="s">
        <v>97</v>
      </c>
      <c r="T3" s="241"/>
      <c r="U3" s="242"/>
      <c r="V3" s="242"/>
      <c r="W3" s="243"/>
      <c r="X3" s="243"/>
    </row>
    <row r="4" spans="1:42" ht="33" customHeight="1" x14ac:dyDescent="0.3">
      <c r="A4" s="248" t="str">
        <f>정보!B16</f>
        <v>제작치수 반영 : JB/JD +(3 ),  늘어난치수K -(3),  C + (0),  U +(0), OP1/OP3 - (3), R - (0),  기둥차감 - (0),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6" t="s">
        <v>22</v>
      </c>
      <c r="W5" s="236" t="s">
        <v>23</v>
      </c>
      <c r="X5" s="238" t="s">
        <v>21</v>
      </c>
      <c r="Y5" s="239"/>
      <c r="Z5" s="239"/>
      <c r="AA5" s="240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7"/>
      <c r="W6" s="237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3" t="str">
        <f>정보!I3</f>
        <v>(4CO멍텅구리) 제작변환 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3</v>
      </c>
      <c r="C2" s="22"/>
      <c r="D2" s="22"/>
      <c r="E2" s="96" t="s">
        <v>86</v>
      </c>
      <c r="F2" s="116">
        <v>0</v>
      </c>
      <c r="G2" s="1"/>
      <c r="H2" s="1"/>
      <c r="I2" s="1"/>
      <c r="J2" s="199" t="s">
        <v>302</v>
      </c>
      <c r="K2" s="199"/>
      <c r="L2" s="199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3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의정부 골드프라자,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3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1</v>
      </c>
      <c r="AC3" s="101"/>
      <c r="AF3" s="212" t="s">
        <v>73</v>
      </c>
      <c r="AG3" s="212"/>
      <c r="AH3" s="114">
        <v>4</v>
      </c>
      <c r="AI3" s="4" t="s">
        <v>74</v>
      </c>
      <c r="AJ3" s="115">
        <v>4</v>
      </c>
      <c r="AK3" s="251" t="s">
        <v>324</v>
      </c>
      <c r="AL3" s="198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248" t="str">
        <f>'4CO멍텅(실측)'!A4:AB4</f>
        <v>제작치수 반영 : JB/JD +(3 ),  늘어난치수K -(3),  C + (0),  U +(0), OP1/OP3 - (3), R - (0),  기둥차감 - (0),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341" t="s">
        <v>307</v>
      </c>
      <c r="AE4" s="341"/>
      <c r="AF4" s="341">
        <f>'4CO멍텅(실측)'!X7</f>
        <v>0</v>
      </c>
      <c r="AG4" s="341"/>
      <c r="AH4" s="9"/>
      <c r="AI4" s="184">
        <f ca="1">TODAY()</f>
        <v>45677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331</v>
      </c>
      <c r="O5" s="316" t="s">
        <v>332</v>
      </c>
      <c r="P5" s="236" t="s">
        <v>62</v>
      </c>
      <c r="Q5" s="236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6" t="s">
        <v>22</v>
      </c>
      <c r="AC5" s="236" t="s">
        <v>23</v>
      </c>
      <c r="AD5" s="238" t="s">
        <v>21</v>
      </c>
      <c r="AE5" s="239"/>
      <c r="AF5" s="239"/>
      <c r="AG5" s="240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7" t="s">
        <v>300</v>
      </c>
      <c r="AQ5" s="177" t="s">
        <v>301</v>
      </c>
      <c r="AR5" s="261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7"/>
      <c r="Q6" s="237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7"/>
      <c r="AC6" s="237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-1.5</v>
      </c>
      <c r="D7" s="4">
        <f>'4CO멍텅(실측)'!D7</f>
        <v>0</v>
      </c>
      <c r="E7" s="4">
        <f>'4CO멍텅(실측)'!E7-CO4멍텅OP/2</f>
        <v>-1.5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3" t="str">
        <f>정보!K2</f>
        <v>(2UP) 실측서 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47"/>
      <c r="H3" s="247"/>
      <c r="I3" s="247"/>
      <c r="J3" s="23"/>
      <c r="K3" s="244"/>
      <c r="L3" s="244"/>
      <c r="M3" s="245"/>
      <c r="N3" s="245"/>
      <c r="O3" s="246"/>
      <c r="P3" s="246"/>
      <c r="Q3" s="246"/>
      <c r="R3" s="120"/>
      <c r="S3" s="241" t="s">
        <v>97</v>
      </c>
      <c r="T3" s="241"/>
      <c r="U3" s="241"/>
      <c r="V3" s="242"/>
      <c r="W3" s="242"/>
      <c r="X3" s="243"/>
      <c r="Y3" s="243"/>
    </row>
    <row r="4" spans="1:40" ht="33" customHeight="1" x14ac:dyDescent="0.3">
      <c r="A4" s="248" t="str">
        <f>정보!B17</f>
        <v>제작치수 반영 : JB/JD +(3 ),  늘어난치수K -(3),  C + (0),   U + (0), OP - (3), R - (0),  기둥차감 - (0),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6" t="s">
        <v>22</v>
      </c>
      <c r="X5" s="236" t="s">
        <v>23</v>
      </c>
      <c r="Y5" s="238" t="s">
        <v>21</v>
      </c>
      <c r="Z5" s="239"/>
      <c r="AA5" s="239"/>
      <c r="AB5" s="240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7"/>
      <c r="X6" s="237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3" t="str">
        <f>정보!L2</f>
        <v>(2UP) 제작변환 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3</v>
      </c>
      <c r="C2" s="22" t="s">
        <v>86</v>
      </c>
      <c r="D2" s="48">
        <v>0</v>
      </c>
      <c r="E2" s="1"/>
      <c r="F2" s="1"/>
      <c r="G2" s="199" t="s">
        <v>303</v>
      </c>
      <c r="H2" s="199"/>
      <c r="I2" s="199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3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의정부 골드프라자,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3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4" t="s">
        <v>227</v>
      </c>
      <c r="S3" s="204"/>
      <c r="T3" s="204"/>
      <c r="U3" s="272">
        <f>BA7</f>
        <v>1</v>
      </c>
      <c r="V3" s="272"/>
      <c r="W3" s="272"/>
      <c r="X3" s="122"/>
      <c r="Y3" s="282" t="s">
        <v>78</v>
      </c>
      <c r="Z3" s="282"/>
      <c r="AA3" s="277">
        <v>1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325</v>
      </c>
      <c r="AK3" s="198"/>
      <c r="AL3" s="160" t="e">
        <f>AO7</f>
        <v>#DIV/0!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+(3 ),  늘어난치수K -(3),  C + (0),   U + (0), OP - (3), R - (0),  기둥차감 - (0), A + (1)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326</v>
      </c>
      <c r="Z4" s="351"/>
      <c r="AA4" s="352">
        <f>AC7</f>
        <v>-3</v>
      </c>
      <c r="AB4" s="353"/>
      <c r="AC4" s="75"/>
      <c r="AD4" s="75"/>
      <c r="AE4" s="75"/>
      <c r="AF4" s="75"/>
      <c r="AG4" s="9"/>
      <c r="AH4" s="184">
        <f ca="1">TODAY()</f>
        <v>45677</v>
      </c>
      <c r="AI4" s="171"/>
      <c r="AJ4" s="162" t="s">
        <v>215</v>
      </c>
      <c r="AK4" s="162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6" t="s">
        <v>62</v>
      </c>
      <c r="N5" s="236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6" t="s">
        <v>22</v>
      </c>
      <c r="AB5" s="236" t="s">
        <v>23</v>
      </c>
      <c r="AC5" s="238" t="s">
        <v>21</v>
      </c>
      <c r="AD5" s="239"/>
      <c r="AE5" s="239"/>
      <c r="AF5" s="240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7" t="s">
        <v>300</v>
      </c>
      <c r="AM5" s="177" t="s">
        <v>301</v>
      </c>
      <c r="AN5" s="261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7"/>
      <c r="N6" s="237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7"/>
      <c r="AB6" s="237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8"/>
      <c r="AM6" s="178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-3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-3</v>
      </c>
      <c r="AD7" s="13">
        <f>IF(UP2멍텅JB하부늘치=1,AC7,'2UP(실측)'!Z7-UP2멍텅늘치차감)</f>
        <v>-3</v>
      </c>
      <c r="AE7" s="13">
        <f>'2UP(실측)'!AA7-UP2멍텅늘치차감</f>
        <v>-3</v>
      </c>
      <c r="AF7" s="13">
        <f>IF(UP2멍텅JB하부늘치=1,AE7,'2UP(실측)'!AB7-UP2멍텅늘치차감)</f>
        <v>-3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의정부 골드프라자 ) _이만희소장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의정부 골드프라자,   (재질) : HL 1.2T</v>
      </c>
      <c r="B3" s="2"/>
      <c r="C3" s="2"/>
      <c r="D3" s="2"/>
      <c r="E3" s="2"/>
      <c r="F3" s="2"/>
      <c r="G3" s="247"/>
      <c r="H3" s="247"/>
      <c r="I3" s="247"/>
      <c r="J3" s="247"/>
      <c r="K3" s="23"/>
      <c r="L3" s="23"/>
      <c r="M3" s="244"/>
      <c r="N3" s="244"/>
      <c r="O3" s="245"/>
      <c r="P3" s="245"/>
      <c r="Q3" s="246"/>
      <c r="R3" s="246"/>
      <c r="S3" s="246"/>
      <c r="T3" s="246"/>
      <c r="U3" s="120"/>
      <c r="V3" s="241" t="s">
        <v>97</v>
      </c>
      <c r="W3" s="241"/>
      <c r="X3" s="241"/>
      <c r="Y3" s="241"/>
      <c r="Z3" s="242"/>
      <c r="AA3" s="242"/>
      <c r="AB3" s="243"/>
      <c r="AC3" s="243"/>
    </row>
    <row r="4" spans="1:46" ht="33" customHeight="1" x14ac:dyDescent="0.3">
      <c r="A4" s="248" t="str">
        <f>정보!B18</f>
        <v>제작치수 반영 : JB/JD +(3 ),  늘어난치수K -(3),  C + (0),   U + (0), OP - (2), R - (0),  기둥차감 - (0), A + (1)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248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6" t="s">
        <v>22</v>
      </c>
      <c r="AB5" s="236" t="s">
        <v>23</v>
      </c>
      <c r="AC5" s="238" t="s">
        <v>21</v>
      </c>
      <c r="AD5" s="239"/>
      <c r="AE5" s="239"/>
      <c r="AF5" s="239"/>
      <c r="AG5" s="239"/>
      <c r="AH5" s="240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7"/>
      <c r="AB6" s="237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3" t="str">
        <f>정보!L3</f>
        <v>(3UP) 제작변환 ( 의정부 골드프라자 ) _이만희소장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0" t="s">
        <v>304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3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의정부 골드프라자,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3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1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321</v>
      </c>
      <c r="AQ3" s="362"/>
      <c r="AR3" s="160" t="e">
        <f>AU7</f>
        <v>#DIV/0!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+(3 ),  늘어난치수K -(3),  C + (0),   U + (0), OP - (2), R - (0),  기둥차감 - (0), A + (1)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327</v>
      </c>
      <c r="AD4" s="259"/>
      <c r="AE4" s="259">
        <f>AG7</f>
        <v>-3</v>
      </c>
      <c r="AF4" s="353"/>
      <c r="AG4" s="75"/>
      <c r="AH4" s="75"/>
      <c r="AI4" s="75"/>
      <c r="AJ4" s="75"/>
      <c r="AK4" s="75"/>
      <c r="AL4" s="75"/>
      <c r="AM4" s="9"/>
      <c r="AN4" s="184">
        <f ca="1">TODAY()</f>
        <v>45677</v>
      </c>
      <c r="AO4" s="171"/>
      <c r="AP4" s="162" t="s">
        <v>215</v>
      </c>
      <c r="AQ4" s="162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6" t="s">
        <v>62</v>
      </c>
      <c r="P5" s="236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6" t="s">
        <v>22</v>
      </c>
      <c r="AF5" s="236" t="s">
        <v>23</v>
      </c>
      <c r="AG5" s="238" t="s">
        <v>21</v>
      </c>
      <c r="AH5" s="239"/>
      <c r="AI5" s="239"/>
      <c r="AJ5" s="239"/>
      <c r="AK5" s="239"/>
      <c r="AL5" s="240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7" t="s">
        <v>300</v>
      </c>
      <c r="AS5" s="177" t="s">
        <v>301</v>
      </c>
      <c r="AT5" s="261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7"/>
      <c r="P6" s="237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7"/>
      <c r="AF6" s="237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8"/>
      <c r="AS6" s="178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-3</v>
      </c>
      <c r="AH7" s="13">
        <f>IF(UP3멍텅JB하부늘치=1,AG7,'3UP(실측)'!AD7-UP3멍텅늘치차감)</f>
        <v>-3</v>
      </c>
      <c r="AI7" s="13">
        <f>IF(UP3멍텅JB하부늘치=1,AG7,'3UP(실측)'!AE7-UP3멍텅늘치차감)</f>
        <v>-3</v>
      </c>
      <c r="AJ7" s="13">
        <f>'3UP(실측)'!AF7-UP3멍텅늘치차감</f>
        <v>-3</v>
      </c>
      <c r="AK7" s="13">
        <f>IF(UP3멍텅JB하부늘치=1,AJ7,'3UP(실측)'!AG7-UP3멍텅늘치차감)</f>
        <v>-3</v>
      </c>
      <c r="AL7" s="13">
        <f>IF(UP3멍텅JB하부늘치=1,AJ7,'3UP(실측)'!AH7-UP3멍텅늘치차감)</f>
        <v>-3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2025-01-20T04:22:35Z</dcterms:modified>
</cp:coreProperties>
</file>