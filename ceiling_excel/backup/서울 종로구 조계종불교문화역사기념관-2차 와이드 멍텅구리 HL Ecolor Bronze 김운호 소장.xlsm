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HL 양식\"/>
    </mc:Choice>
  </mc:AlternateContent>
  <xr:revisionPtr revIDLastSave="0" documentId="13_ncr:1_{19F248CB-B732-4B08-BFFB-68134B9B286D}" xr6:coauthVersionLast="47" xr6:coauthVersionMax="47" xr10:uidLastSave="{00000000-0000-0000-0000-000000000000}"/>
  <bookViews>
    <workbookView xWindow="28680" yWindow="-120" windowWidth="29040" windowHeight="15840" tabRatio="947" activeTab="5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F12" i="9"/>
  <c r="AG12" i="9"/>
  <c r="AH12" i="9"/>
  <c r="AI12" i="9"/>
  <c r="AJ12" i="9"/>
  <c r="AK12" i="9"/>
  <c r="AL12" i="9"/>
  <c r="AM12" i="9"/>
  <c r="AF13" i="9"/>
  <c r="AG13" i="9"/>
  <c r="AH13" i="9"/>
  <c r="AI13" i="9"/>
  <c r="AJ13" i="9"/>
  <c r="AK13" i="9"/>
  <c r="AL13" i="9"/>
  <c r="AM13" i="9"/>
  <c r="AF8" i="9"/>
  <c r="AG8" i="9"/>
  <c r="AH8" i="9"/>
  <c r="AI8" i="9"/>
  <c r="AJ8" i="9"/>
  <c r="AK8" i="9"/>
  <c r="AL8" i="9"/>
  <c r="AM8" i="9"/>
  <c r="A8" i="10"/>
  <c r="B8" i="10"/>
  <c r="C8" i="10"/>
  <c r="D8" i="10"/>
  <c r="Q8" i="10"/>
  <c r="AU8" i="10" s="1"/>
  <c r="R8" i="10"/>
  <c r="S8" i="10"/>
  <c r="T8" i="10"/>
  <c r="W8" i="10"/>
  <c r="X8" i="10"/>
  <c r="Y8" i="10"/>
  <c r="Z8" i="10" s="1"/>
  <c r="AA8" i="10"/>
  <c r="AZ8" i="10" s="1"/>
  <c r="E8" i="10" s="1"/>
  <c r="AF8" i="10"/>
  <c r="AG8" i="10"/>
  <c r="AH8" i="10"/>
  <c r="AI8" i="10"/>
  <c r="AJ8" i="10"/>
  <c r="AK8" i="10"/>
  <c r="AL8" i="10"/>
  <c r="AW8" i="10"/>
  <c r="BA8" i="10"/>
  <c r="A9" i="10"/>
  <c r="B9" i="10"/>
  <c r="C9" i="10"/>
  <c r="D9" i="10"/>
  <c r="Q9" i="10"/>
  <c r="R9" i="10"/>
  <c r="AU9" i="10" s="1"/>
  <c r="S9" i="10"/>
  <c r="AW9" i="10" s="1"/>
  <c r="T9" i="10"/>
  <c r="W9" i="10"/>
  <c r="X9" i="10"/>
  <c r="Y9" i="10"/>
  <c r="AZ9" i="10" s="1"/>
  <c r="E9" i="10" s="1"/>
  <c r="AA9" i="10"/>
  <c r="AB9" i="10" s="1"/>
  <c r="AF9" i="10"/>
  <c r="AG9" i="10"/>
  <c r="AH9" i="10"/>
  <c r="AI9" i="10"/>
  <c r="AJ9" i="10"/>
  <c r="AK9" i="10"/>
  <c r="V9" i="10" s="1"/>
  <c r="AL9" i="10"/>
  <c r="BA9" i="10"/>
  <c r="A10" i="10"/>
  <c r="B10" i="10"/>
  <c r="C10" i="10"/>
  <c r="D10" i="10"/>
  <c r="O10" i="10"/>
  <c r="M10" i="10" s="1"/>
  <c r="K10" i="10" s="1"/>
  <c r="Q10" i="10"/>
  <c r="R10" i="10"/>
  <c r="S10" i="10"/>
  <c r="AW10" i="10" s="1"/>
  <c r="T10" i="10"/>
  <c r="W10" i="10"/>
  <c r="X10" i="10"/>
  <c r="Y10" i="10"/>
  <c r="Z10" i="10" s="1"/>
  <c r="AA10" i="10"/>
  <c r="AB10" i="10" s="1"/>
  <c r="AF10" i="10"/>
  <c r="AG10" i="10"/>
  <c r="AH10" i="10"/>
  <c r="AI10" i="10"/>
  <c r="AJ10" i="10"/>
  <c r="AK10" i="10"/>
  <c r="AL10" i="10"/>
  <c r="AU10" i="10"/>
  <c r="BA10" i="10"/>
  <c r="A11" i="10"/>
  <c r="B11" i="10"/>
  <c r="C11" i="10"/>
  <c r="D11" i="10"/>
  <c r="Q11" i="10"/>
  <c r="R11" i="10"/>
  <c r="S11" i="10"/>
  <c r="AW11" i="10" s="1"/>
  <c r="T11" i="10"/>
  <c r="W11" i="10"/>
  <c r="X11" i="10"/>
  <c r="Y11" i="10"/>
  <c r="Z11" i="10"/>
  <c r="AA11" i="10"/>
  <c r="AB11" i="10" s="1"/>
  <c r="AF11" i="10"/>
  <c r="AG11" i="10"/>
  <c r="AH11" i="10"/>
  <c r="AI11" i="10"/>
  <c r="AJ11" i="10"/>
  <c r="AK11" i="10"/>
  <c r="AL11" i="10"/>
  <c r="P11" i="10" s="1"/>
  <c r="N11" i="10" s="1"/>
  <c r="L11" i="10" s="1"/>
  <c r="BA11" i="10"/>
  <c r="A12" i="10"/>
  <c r="B12" i="10"/>
  <c r="C12" i="10"/>
  <c r="D12" i="10"/>
  <c r="O12" i="10"/>
  <c r="M12" i="10" s="1"/>
  <c r="K12" i="10" s="1"/>
  <c r="Q12" i="10"/>
  <c r="R12" i="10"/>
  <c r="S12" i="10"/>
  <c r="T12" i="10"/>
  <c r="W12" i="10"/>
  <c r="X12" i="10"/>
  <c r="Y12" i="10"/>
  <c r="Z12" i="10" s="1"/>
  <c r="AA12" i="10"/>
  <c r="AB12" i="10"/>
  <c r="AF12" i="10"/>
  <c r="AG12" i="10"/>
  <c r="AH12" i="10"/>
  <c r="AI12" i="10"/>
  <c r="AJ12" i="10"/>
  <c r="AK12" i="10"/>
  <c r="AL12" i="10"/>
  <c r="AU12" i="10"/>
  <c r="AW12" i="10"/>
  <c r="BA12" i="10"/>
  <c r="A13" i="10"/>
  <c r="B13" i="10"/>
  <c r="C13" i="10"/>
  <c r="D13" i="10"/>
  <c r="Q13" i="10"/>
  <c r="R13" i="10"/>
  <c r="AU13" i="10" s="1"/>
  <c r="S13" i="10"/>
  <c r="AW13" i="10" s="1"/>
  <c r="T13" i="10"/>
  <c r="W13" i="10"/>
  <c r="X13" i="10"/>
  <c r="Y13" i="10"/>
  <c r="Z13" i="10"/>
  <c r="AA13" i="10"/>
  <c r="AB13" i="10" s="1"/>
  <c r="AF13" i="10"/>
  <c r="AG13" i="10"/>
  <c r="AH13" i="10"/>
  <c r="AI13" i="10"/>
  <c r="AJ13" i="10"/>
  <c r="AK13" i="10"/>
  <c r="AL13" i="10"/>
  <c r="P13" i="10" s="1"/>
  <c r="BA13" i="10"/>
  <c r="AZ11" i="10" l="1"/>
  <c r="E11" i="10" s="1"/>
  <c r="I9" i="10"/>
  <c r="Z9" i="10"/>
  <c r="P9" i="10"/>
  <c r="N9" i="10" s="1"/>
  <c r="L9" i="10" s="1"/>
  <c r="AB8" i="10"/>
  <c r="V11" i="10"/>
  <c r="V8" i="10"/>
  <c r="U8" i="10" s="1"/>
  <c r="O8" i="10"/>
  <c r="M8" i="10" s="1"/>
  <c r="K8" i="10" s="1"/>
  <c r="G8" i="10"/>
  <c r="AX8" i="10" s="1"/>
  <c r="I8" i="10"/>
  <c r="V13" i="10"/>
  <c r="U13" i="10" s="1"/>
  <c r="AZ13" i="10"/>
  <c r="E13" i="10" s="1"/>
  <c r="AN13" i="10" s="1"/>
  <c r="I11" i="10"/>
  <c r="AV11" i="10" s="1"/>
  <c r="AE11" i="10" s="1"/>
  <c r="AN9" i="10"/>
  <c r="AU11" i="10"/>
  <c r="AN11" i="10"/>
  <c r="AO11" i="10" s="1"/>
  <c r="AY13" i="10"/>
  <c r="AY8" i="10"/>
  <c r="U11" i="10"/>
  <c r="AY11" i="10"/>
  <c r="N13" i="10"/>
  <c r="L13" i="10" s="1"/>
  <c r="AN8" i="10"/>
  <c r="AO8" i="10" s="1"/>
  <c r="U9" i="10"/>
  <c r="AY9" i="10"/>
  <c r="P12" i="10"/>
  <c r="P10" i="10"/>
  <c r="P8" i="10"/>
  <c r="H8" i="10"/>
  <c r="J13" i="10"/>
  <c r="V12" i="10"/>
  <c r="J11" i="10"/>
  <c r="V10" i="10"/>
  <c r="J9" i="10"/>
  <c r="AV9" i="10" s="1"/>
  <c r="AE9" i="10" s="1"/>
  <c r="F8" i="10"/>
  <c r="AP8" i="10" s="1"/>
  <c r="I13" i="10"/>
  <c r="H13" i="10"/>
  <c r="H11" i="10"/>
  <c r="H9" i="10"/>
  <c r="O13" i="10"/>
  <c r="G13" i="10"/>
  <c r="AX13" i="10" s="1"/>
  <c r="AZ12" i="10"/>
  <c r="I12" i="10" s="1"/>
  <c r="O11" i="10"/>
  <c r="G11" i="10"/>
  <c r="AX11" i="10" s="1"/>
  <c r="AZ10" i="10"/>
  <c r="J10" i="10" s="1"/>
  <c r="O9" i="10"/>
  <c r="G9" i="10"/>
  <c r="AX9" i="10" s="1"/>
  <c r="F13" i="10"/>
  <c r="F11" i="10"/>
  <c r="AQ11" i="10" s="1"/>
  <c r="F9" i="10"/>
  <c r="AP9" i="10" s="1"/>
  <c r="J8" i="10"/>
  <c r="J12" i="10" l="1"/>
  <c r="AT8" i="10"/>
  <c r="AD8" i="10" s="1"/>
  <c r="AP13" i="10"/>
  <c r="N8" i="10"/>
  <c r="L8" i="10" s="1"/>
  <c r="AS9" i="10"/>
  <c r="N12" i="10"/>
  <c r="L12" i="10" s="1"/>
  <c r="AQ8" i="10"/>
  <c r="AS11" i="10"/>
  <c r="AY10" i="10"/>
  <c r="U10" i="10"/>
  <c r="I10" i="10"/>
  <c r="AQ9" i="10"/>
  <c r="AS13" i="10"/>
  <c r="N10" i="10"/>
  <c r="L10" i="10" s="1"/>
  <c r="G12" i="10"/>
  <c r="E12" i="10"/>
  <c r="F12" i="10"/>
  <c r="H12" i="10"/>
  <c r="M9" i="10"/>
  <c r="K9" i="10" s="1"/>
  <c r="AR9" i="10" s="1"/>
  <c r="AT9" i="10"/>
  <c r="AD9" i="10" s="1"/>
  <c r="M13" i="10"/>
  <c r="K13" i="10" s="1"/>
  <c r="AR13" i="10" s="1"/>
  <c r="AY12" i="10"/>
  <c r="U12" i="10"/>
  <c r="AO9" i="10"/>
  <c r="AQ13" i="10"/>
  <c r="M11" i="10"/>
  <c r="K11" i="10" s="1"/>
  <c r="AR11" i="10" s="1"/>
  <c r="AO13" i="10"/>
  <c r="AV13" i="10"/>
  <c r="AE13" i="10" s="1"/>
  <c r="AR8" i="10"/>
  <c r="AS8" i="10"/>
  <c r="AP11" i="10"/>
  <c r="G10" i="10"/>
  <c r="E10" i="10"/>
  <c r="F10" i="10"/>
  <c r="H10" i="10"/>
  <c r="AC9" i="10" l="1"/>
  <c r="AC13" i="10"/>
  <c r="AT13" i="10"/>
  <c r="AD13" i="10" s="1"/>
  <c r="AC11" i="10"/>
  <c r="AT12" i="10"/>
  <c r="AD12" i="10" s="1"/>
  <c r="AS12" i="10"/>
  <c r="AR12" i="10"/>
  <c r="AV12" i="10"/>
  <c r="AE12" i="10" s="1"/>
  <c r="AX10" i="10"/>
  <c r="AQ12" i="10"/>
  <c r="AN12" i="10"/>
  <c r="AO12" i="10" s="1"/>
  <c r="AX12" i="10"/>
  <c r="AS10" i="10"/>
  <c r="AR10" i="10"/>
  <c r="AN10" i="10"/>
  <c r="AP10" i="10" s="1"/>
  <c r="AQ10" i="10"/>
  <c r="AC8" i="10"/>
  <c r="AT11" i="10"/>
  <c r="AD11" i="10" s="1"/>
  <c r="AV10" i="10"/>
  <c r="AE10" i="10" s="1"/>
  <c r="AV8" i="10"/>
  <c r="AE8" i="10" s="1"/>
  <c r="AT10" i="10"/>
  <c r="AD10" i="10" s="1"/>
  <c r="Y7" i="22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AO10" i="10" l="1"/>
  <c r="AC10" i="10"/>
  <c r="AP12" i="10"/>
  <c r="AC12" i="10"/>
  <c r="C7" i="26"/>
  <c r="E7" i="26"/>
  <c r="AF4" i="26"/>
  <c r="AJ4" i="24"/>
  <c r="AE4" i="22"/>
  <c r="AI4" i="19"/>
  <c r="AA4" i="10"/>
  <c r="AE3" i="8"/>
  <c r="AJ7" i="32" l="1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AI7" i="32" l="1"/>
  <c r="AE4" i="32"/>
  <c r="AD7" i="28"/>
  <c r="AA4" i="28"/>
  <c r="AH7" i="32"/>
  <c r="AE7" i="26"/>
  <c r="AK7" i="32"/>
  <c r="C7" i="19"/>
  <c r="D7" i="24"/>
  <c r="AS7" i="32" l="1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M7" i="32" l="1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M7" i="22" s="1"/>
  <c r="J7" i="22"/>
  <c r="V3" i="22"/>
  <c r="BD7" i="22"/>
  <c r="AW7" i="22"/>
  <c r="A4" i="22"/>
  <c r="AP7" i="8"/>
  <c r="Y7" i="14"/>
  <c r="O7" i="19" l="1"/>
  <c r="BH7" i="19"/>
  <c r="AO7" i="19" s="1"/>
  <c r="BJ7" i="19"/>
  <c r="AP7" i="19" s="1"/>
  <c r="N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B7" i="15"/>
  <c r="A7" i="15"/>
  <c r="X7" i="14"/>
  <c r="W7" i="14"/>
  <c r="R7" i="14"/>
  <c r="Q7" i="14"/>
  <c r="P7" i="14"/>
  <c r="O7" i="14"/>
  <c r="D7" i="14"/>
  <c r="B7" i="14"/>
  <c r="A7" i="14"/>
  <c r="A2" i="15" l="1"/>
  <c r="AF7" i="14"/>
  <c r="AC7" i="15" s="1"/>
  <c r="E7" i="14"/>
  <c r="AD7" i="14" s="1"/>
  <c r="AA7" i="15" s="1"/>
  <c r="AH7" i="14"/>
  <c r="AE7" i="15" s="1"/>
  <c r="AC7" i="14"/>
  <c r="Z7" i="15" s="1"/>
  <c r="C2" i="14"/>
  <c r="F7" i="14"/>
  <c r="C7" i="15" l="1"/>
  <c r="AG7" i="14"/>
  <c r="AE7" i="14"/>
  <c r="C7" i="14"/>
  <c r="G7" i="14" l="1"/>
  <c r="AB7" i="15"/>
  <c r="H7" i="14"/>
  <c r="AD7" i="15"/>
  <c r="H7" i="15" s="1"/>
  <c r="B7" i="10"/>
  <c r="AD4" i="10"/>
  <c r="AG4" i="8"/>
  <c r="G3" i="15" l="1"/>
  <c r="G7" i="15"/>
  <c r="D7" i="10"/>
  <c r="E7" i="15" l="1"/>
  <c r="F7" i="15"/>
  <c r="AS8" i="2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7" i="9" l="1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<sst xmlns="http://schemas.openxmlformats.org/spreadsheetml/2006/main" count="1175" uniqueCount="342">
  <si>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</si>
  <si>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</si>
  <si>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</si>
  <si>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</si>
  <si>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</si>
  <si>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</si>
  <si>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</si>
  <si>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</si>
  <si>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</si>
  <si>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</si>
  <si>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</si>
  <si>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</si>
  <si>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</si>
  <si>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</si>
  <si>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</si>
  <si>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</si>
  <si>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</si>
  <si>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</si>
  <si>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</si>
  <si>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</si>
  <si>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</si>
  <si>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</si>
  <si>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</si>
  <si>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</si>
  <si>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</si>
  <si>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</si>
  <si>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</si>
  <si>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</si>
  <si>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</si>
  <si>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</si>
  <si>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</si>
  <si>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</si>
  <si>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</si>
  <si>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</si>
  <si>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</si>
  <si>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</si>
  <si>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</si>
  <si>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</si>
  <si>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</si>
  <si>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</si>
  <si>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</si>
  <si>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</si>
  <si>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</si>
  <si>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</si>
  <si>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</si>
  <si>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</si>
  <si>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</si>
  <si>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</si>
  <si>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</si>
  <si>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</si>
  <si>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</si>
  <si>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</si>
  <si>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</si>
  <si>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</si>
  <si>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</si>
  <si>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</si>
  <si>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</si>
  <si>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</si>
  <si>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</si>
  <si>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</si>
  <si>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</si>
  <si>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</si>
  <si>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</si>
  <si>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</si>
  <si>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</si>
  <si>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</si>
  <si>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</si>
  <si>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</si>
  <si>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</si>
  <si>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</si>
  <si>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</si>
  <si>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</si>
  <si>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</si>
  <si>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</si>
  <si>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</si>
  <si>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</si>
  <si>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</si>
  <si>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</si>
  <si>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</si>
  <si>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</si>
  <si>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</si>
  <si>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</si>
  <si>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</si>
  <si>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</si>
  <si>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</si>
  <si>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</si>
  <si>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</si>
  <si>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</si>
  <si>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</si>
  <si>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</si>
  <si>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</si>
  <si>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</si>
  <si>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</si>
  <si>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</si>
  <si>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</si>
  <si>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</si>
  <si>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</si>
  <si>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</si>
  <si>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</si>
  <si>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</si>
  <si>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</si>
  <si>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</si>
  <si>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</si>
  <si>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</si>
  <si>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</si>
  <si>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</si>
  <si>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</si>
  <si>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</si>
  <si>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</si>
  <si>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</si>
  <si>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</si>
  <si>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</si>
  <si>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</si>
  <si>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</si>
  <si>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</si>
  <si>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</si>
  <si>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</si>
  <si>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</si>
  <si>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</si>
  <si>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</si>
  <si>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</si>
  <si>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</si>
  <si>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</si>
  <si>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</si>
  <si>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</si>
  <si>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</si>
  <si>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</si>
  <si>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</si>
  <si>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</si>
  <si>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</si>
  <si>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</si>
  <si>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</si>
  <si>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</si>
  <si>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</si>
  <si>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</si>
  <si>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</si>
  <si>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</si>
  <si>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</si>
  <si>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</si>
  <si>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</si>
  <si>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</si>
  <si>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</si>
  <si>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</si>
  <si>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</si>
  <si>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</si>
  <si>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</si>
  <si>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</si>
  <si>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</si>
  <si>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</si>
  <si>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</si>
  <si>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</si>
  <si>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</si>
  <si>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</si>
  <si>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</si>
  <si>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</si>
  <si>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</si>
  <si>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</si>
  <si>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</si>
  <si>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</si>
  <si>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</si>
  <si>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</si>
  <si>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</si>
  <si>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</si>
  <si>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</si>
  <si>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</si>
  <si>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</si>
  <si>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</si>
  <si>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</si>
  <si>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</si>
  <si>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</si>
  <si>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</si>
  <si>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</si>
  <si>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</si>
  <si>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</si>
  <si>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</si>
  <si>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</si>
  <si>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</si>
  <si>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</si>
  <si>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</si>
  <si>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</si>
  <si>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</si>
  <si>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</si>
  <si>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</si>
  <si>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</si>
  <si>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</si>
  <si>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</si>
  <si>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</si>
  <si>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</si>
  <si>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</si>
  <si>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</si>
  <si>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</si>
  <si>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</si>
  <si>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</si>
  <si>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</si>
  <si>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</si>
  <si>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</si>
  <si>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</si>
  <si>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</si>
  <si>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</si>
  <si>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</si>
  <si>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</si>
  <si>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</si>
  <si>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</si>
  <si>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</si>
  <si>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</si>
  <si>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</si>
  <si>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</si>
  <si>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</si>
  <si>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</si>
  <si>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</si>
  <si>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</si>
  <si>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</si>
  <si>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</si>
  <si>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</si>
  <si>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</si>
  <si>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</si>
  <si>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</si>
  <si>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</si>
  <si>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</si>
  <si>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</si>
  <si>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</si>
  <si>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</si>
  <si>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</si>
  <si>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</si>
  <si>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</si>
  <si>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</si>
  <si>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</si>
  <si>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</si>
  <si>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</si>
  <si>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</si>
  <si>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</si>
  <si>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</si>
  <si>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</si>
  <si>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</si>
  <si>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</si>
  <si>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</si>
  <si>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</si>
  <si>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</si>
  <si>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</si>
  <si>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</si>
  <si>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</si>
  <si>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</si>
  <si>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</si>
  <si>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</si>
  <si>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</si>
  <si>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</si>
  <si>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</si>
  <si>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</si>
  <si>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</si>
  <si>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</si>
  <si>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</si>
  <si>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</si>
  <si>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</si>
  <si>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</si>
  <si>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</si>
  <si>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</si>
  <si>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</si>
  <si>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</si>
  <si>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</si>
  <si>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</si>
  <si>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</si>
  <si>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</si>
  <si>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</si>
  <si>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</si>
  <si>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</si>
  <si>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</si>
  <si>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</si>
  <si>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</si>
  <si>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</si>
  <si>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</si>
  <si>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</si>
  <si>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</si>
  <si>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</si>
  <si>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</si>
  <si>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</si>
  <si>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</si>
  <si>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</si>
  <si>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</si>
  <si>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</si>
  <si>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</si>
  <si>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</si>
  <si>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</si>
  <si>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</si>
  <si>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</si>
  <si>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</si>
  <si>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</si>
  <si>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</si>
  <si>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</si>
  <si>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</si>
  <si>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</si>
  <si>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</si>
  <si>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</si>
  <si>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</si>
  <si>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</si>
  <si>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</si>
  <si>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</si>
  <si>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</si>
  <si>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</si>
  <si>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</si>
  <si>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</si>
  <si>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</si>
  <si>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</si>
  <si>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</si>
  <si>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</si>
  <si>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</si>
  <si>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</si>
  <si>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</si>
  <si>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</si>
  <si>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</si>
  <si>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</si>
  <si>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</si>
  <si>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</si>
  <si>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</si>
  <si>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</si>
  <si>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</si>
  <si>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</si>
  <si>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</si>
  <si>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</si>
  <si>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</si>
  <si>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</si>
  <si>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</si>
  <si>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</si>
  <si>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</si>
  <si>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</si>
  <si>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</si>
  <si>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</si>
  <si>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</si>
  <si>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</si>
  <si>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</si>
  <si>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</si>
  <si>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</si>
  <si>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</si>
  <si>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</si>
  <si>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이미래</t>
  </si>
  <si>
    <t>HL Ecolor Bronze 1.2T</t>
    <phoneticPr fontId="1" type="noConversion"/>
  </si>
  <si>
    <t>서울 종로구 조계종불교문화역사기념관-2차</t>
  </si>
  <si>
    <t>TKEK HD S20D-OR</t>
  </si>
  <si>
    <t>김운호</t>
  </si>
  <si>
    <t>B1</t>
  </si>
  <si>
    <t>B2</t>
  </si>
  <si>
    <t>B3</t>
  </si>
  <si>
    <t>B4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</si>
</sst>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6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6" sqref="B6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서울 종로구 조계종불교문화역사기념관-2차 ) _김운호소장</v>
      </c>
      <c r="C2" s="39" t="str">
        <f>"(와이드) 제작변환 자료( "&amp;B1&amp;" ) _"&amp;소장 &amp;"소장"</f>
        <v>(와이드) 제작변환 자료( 서울 종로구 조계종불교문화역사기념관-2차 ) _김운호소장</v>
      </c>
      <c r="D2" s="154" t="s">
        <v>316</v>
      </c>
      <c r="E2" s="150" t="str">
        <f>"(SO와이드) 실측서 ( " &amp; B1 &amp; " ) _"&amp;소장 &amp;"소장"</f>
        <v>(SO와이드) 실측서 ( 서울 종로구 조계종불교문화역사기념관-2차 ) _김운호소장</v>
      </c>
      <c r="F2" s="150" t="str">
        <f>"(SO와이드) 제작변환 ( " &amp; B1 &amp; " ) _"&amp;소장 &amp;"소장"</f>
        <v>(SO와이드) 제작변환 ( 서울 종로구 조계종불교문화역사기념관-2차 ) _김운호소장</v>
      </c>
      <c r="G2" s="152" t="s">
        <v>318</v>
      </c>
      <c r="H2" s="147" t="str">
        <f>"(4CO와이드) 실측서 ( " &amp; B1 &amp; " ) _"&amp;소장 &amp;"소장"</f>
        <v>(4CO와이드) 실측서 ( 서울 종로구 조계종불교문화역사기념관-2차 ) _김운호소장</v>
      </c>
      <c r="I2" s="147" t="str">
        <f>"(4CO와이드) 제작변환 ( " &amp; B1 &amp; " ) _"&amp;소장 &amp;"소장"</f>
        <v>(4CO와이드) 제작변환 ( 서울 종로구 조계종불교문화역사기념관-2차 ) _김운호소장</v>
      </c>
      <c r="J2" s="152" t="s">
        <v>320</v>
      </c>
      <c r="K2" s="153" t="str">
        <f>"(2UP) 실측서 ( " &amp; B1 &amp; " ) _"&amp;소장 &amp;"소장"</f>
        <v>(2UP) 실측서 ( 서울 종로구 조계종불교문화역사기념관-2차 ) _김운호소장</v>
      </c>
      <c r="L2" s="153" t="str">
        <f>"(2UP) 제작변환 ( " &amp; B1 &amp; " ) _"&amp;소장 &amp;"소장"</f>
        <v>(2UP) 제작변환 ( 서울 종로구 조계종불교문화역사기념관-2차 ) _김운호소장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서울 종로구 조계종불교문화역사기념관-2차 ) _김운호소장</v>
      </c>
      <c r="C3" s="39" t="str">
        <f>"(멍텅구리) 제작변환 자료( "&amp;B1&amp;" ) _"&amp;소장 &amp;"소장"</f>
        <v>(멍텅구리) 제작변환 자료( 서울 종로구 조계종불교문화역사기념관-2차 ) _김운호소장</v>
      </c>
      <c r="D3" s="154" t="s">
        <v>317</v>
      </c>
      <c r="E3" s="150" t="str">
        <f>"(SO멍텅구리) 실측서 ( " &amp; B1 &amp; " ) _"&amp;소장 &amp;"소장"</f>
        <v>(SO멍텅구리) 실측서 ( 서울 종로구 조계종불교문화역사기념관-2차 ) _김운호소장</v>
      </c>
      <c r="F3" s="150" t="str">
        <f>"(SO멍텅구리) 제작변환 ( " &amp; B1 &amp; " ) _"&amp;소장 &amp;"소장"</f>
        <v>(SO멍텅구리) 제작변환 ( 서울 종로구 조계종불교문화역사기념관-2차 ) _김운호소장</v>
      </c>
      <c r="G3" s="152" t="s">
        <v>319</v>
      </c>
      <c r="H3" s="147" t="str">
        <f>"(4CO멍텅구리) 실측서 ( " &amp; B1 &amp; " ) _"&amp;소장 &amp;"소장"</f>
        <v>(4CO멍텅구리) 실측서 ( 서울 종로구 조계종불교문화역사기념관-2차 ) _김운호소장</v>
      </c>
      <c r="I3" s="147" t="str">
        <f>"(4CO멍텅구리) 제작변환 ( " &amp; B1 &amp; " ) _"&amp;소장 &amp;"소장"</f>
        <v>(4CO멍텅구리) 제작변환 ( 서울 종로구 조계종불교문화역사기념관-2차 ) _김운호소장</v>
      </c>
      <c r="J3" s="152" t="s">
        <v>321</v>
      </c>
      <c r="K3" s="153" t="str">
        <f>"(3UP) 실측서 ( " &amp; B1 &amp; " ) _"&amp;소장 &amp;"소장"</f>
        <v>(3UP) 실측서 ( 서울 종로구 조계종불교문화역사기념관-2차 ) _김운호소장</v>
      </c>
      <c r="L3" s="153" t="str">
        <f>"(3UP) 제작변환 ( " &amp; B1 &amp; " ) _"&amp;소장 &amp;"소장"</f>
        <v>(3UP) 제작변환 ( 서울 종로구 조계종불교문화역사기념관-2차 ) _김운호소장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서울 종로구 조계종불교문화역사기념관-2차 ) _김운호소장</v>
      </c>
      <c r="C4" s="39" t="str">
        <f>"(쪽쟘) 제작변환 자료( "&amp;B1&amp;" ) _"&amp;소장 &amp;"소장"</f>
        <v>(쪽쟘) 제작변환 자료( 서울 종로구 조계종불교문화역사기념관-2차 ) _김운호소장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 t="s">
        <v>336</v>
      </c>
      <c r="D5" s="145" t="s">
        <v>322</v>
      </c>
    </row>
    <row r="6" spans="1:12" ht="27.75" customHeight="1" x14ac:dyDescent="0.3">
      <c r="A6" s="144" t="s">
        <v>40</v>
      </c>
      <c r="B6" s="146" t="s">
        <v>337</v>
      </c>
    </row>
    <row r="7" spans="1:12" ht="16.5" customHeight="1" x14ac:dyDescent="0.3">
      <c r="A7" s="72" t="s">
        <v>193</v>
      </c>
      <c r="B7" s="118" t="s">
        <v>334</v>
      </c>
    </row>
    <row r="8" spans="1:12" ht="16.5" customHeight="1" x14ac:dyDescent="0.3">
      <c r="A8" s="76" t="s">
        <v>194</v>
      </c>
      <c r="B8" s="118" t="s">
        <v>334</v>
      </c>
    </row>
    <row r="9" spans="1:12" ht="16.5" customHeight="1" x14ac:dyDescent="0.3">
      <c r="A9" s="71" t="s">
        <v>195</v>
      </c>
      <c r="B9" s="118" t="s">
        <v>334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+(3 ),  늘어난치수K -(3),  C + (0),   U + (0), OP - (2), R - (0),  기둥차감 - (0), A + (1)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+(3 ),  늘어난치수K -(3),  C + (0),  U +(0), OP - (2), R - (0),  기둥차감 - (0),  A + (1)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+(3 ),  늘어난치수K -(3),  C + (0),   U + (0), OP - (2), R - (0),  기둥차감 - (0),  A + (1)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+(3 ),  늘어난치수K -(3),  C + (0),  U +(0), OP1/OP2 - (2), R - (0),  기둥차감 - (0), A + (1)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+(3 ),  늘어난치수K -(3),  C + (0),   U + (0), OP1/OP3 - (2), R - (0),  기둥차감 - (0), A + (1)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+(3 ),  늘어난치수K -(3),  C + (0),  U +(0), OP1/OP3 - (2), R - (0),  기둥차감 - (0), A + (1)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+(3 ),  늘어난치수K -(0),  C + (0),   U + (0), OP - (2), R - (0),  기둥차감 - (0), A + (1)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+(3 ),  늘어난치수K -(0),  C + (0),   U + (0), OP - (2), R - (0),  기둥차감 - (0), A + (1)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298</v>
      </c>
      <c r="B23" s="124" t="s">
        <v>333</v>
      </c>
    </row>
    <row r="26" spans="1:3" x14ac:dyDescent="0.3">
      <c r="A26">
        <v>20231101</v>
      </c>
      <c r="B26" t="s">
        <v>332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1</v>
      </c>
      <c r="C2" s="3">
        <f>IF('쪽쟘(실측)'!C7&gt;1,1,0)</f>
        <v>0</v>
      </c>
      <c r="D2" s="3" t="str">
        <f>정보!B1</f>
        <v>서울 종로구 조계종불교문화역사기념관-2차</v>
      </c>
      <c r="E2" s="3" t="str">
        <f>정보!B6</f>
        <v>김운호</v>
      </c>
      <c r="F2" s="3" t="str">
        <f>정보!B7</f>
        <v>HL Ecolor Bronze 1.2T</v>
      </c>
      <c r="G2" s="3" t="str">
        <f>정보!B8</f>
        <v>HL Ecolor Bronze 1.2T</v>
      </c>
      <c r="H2" s="3" t="str">
        <f>정보!B9</f>
        <v>HL Ecolor Bronze 1.2T</v>
      </c>
      <c r="I2" t="str">
        <f>정보!B5</f>
        <v>TKEK HD S20D-OR</v>
      </c>
      <c r="J2" s="87">
        <f ca="1">TODAY()</f>
        <v>45303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297</v>
      </c>
      <c r="E5" t="s">
        <v>218</v>
      </c>
      <c r="G5" t="s">
        <v>299</v>
      </c>
    </row>
    <row r="6" spans="1:17" ht="60.75" customHeight="1" x14ac:dyDescent="0.3">
      <c r="D6" t="s">
        <v>209</v>
      </c>
      <c r="E6" t="s">
        <v>219</v>
      </c>
      <c r="G6" t="s">
        <v>300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314</v>
      </c>
    </row>
    <row r="13" spans="1:17" ht="62.25" customHeight="1" x14ac:dyDescent="0.3">
      <c r="E13" t="s">
        <v>301</v>
      </c>
    </row>
    <row r="14" spans="1:17" ht="62.25" customHeight="1" x14ac:dyDescent="0.3">
      <c r="E14" t="s">
        <v>315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AK7" sqref="AK7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5" t="str">
        <f>정보!B2</f>
        <v>(와이드) 실측서 ( 서울 종로구 조계종불교문화역사기념관-2차 ) _김운호소장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4"/>
      <c r="Z2" s="174"/>
      <c r="AA2" s="174"/>
      <c r="AB2" s="174"/>
      <c r="AC2" s="174"/>
      <c r="AD2" s="174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서울 종로구 조계종불교문화역사기념관-2차,   (재질) : HL Ecolor Bronze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63" t="s">
        <v>98</v>
      </c>
      <c r="M3" s="163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4"/>
      <c r="Z3" s="174"/>
      <c r="AA3" s="174"/>
      <c r="AB3" s="174"/>
      <c r="AC3" s="174"/>
      <c r="AD3" s="174"/>
      <c r="AE3" s="34"/>
      <c r="AF3" s="34"/>
      <c r="AG3" s="34"/>
      <c r="AH3" s="34"/>
      <c r="AI3" s="34"/>
      <c r="AJ3" s="34"/>
    </row>
    <row r="4" spans="1:45" ht="33" customHeight="1" x14ac:dyDescent="0.3">
      <c r="A4" s="172" t="str">
        <f>정보!B10</f>
        <v>제작치수 반영 : MH + (2), JB/JD +(3 ),  늘어난치수K -(3),  C + (0),   U + (0), OP - (2), R - (0),  기둥차감 - (0),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1"/>
      <c r="W4" s="171"/>
      <c r="X4" s="171"/>
      <c r="Y4" s="171"/>
      <c r="Z4" s="171"/>
      <c r="AA4" s="171"/>
      <c r="AB4" s="171"/>
      <c r="AC4" s="171"/>
      <c r="AD4" s="173"/>
      <c r="AE4" s="162" t="s">
        <v>215</v>
      </c>
      <c r="AF4" s="162"/>
      <c r="AG4" s="75"/>
      <c r="AH4" s="9"/>
      <c r="AI4" s="9"/>
      <c r="AJ4" s="9"/>
    </row>
    <row r="5" spans="1:45" ht="25.9" customHeight="1" x14ac:dyDescent="0.3">
      <c r="A5" s="164" t="s">
        <v>0</v>
      </c>
      <c r="B5" s="165" t="s">
        <v>1</v>
      </c>
      <c r="C5" s="165" t="s">
        <v>2</v>
      </c>
      <c r="D5" s="165" t="s">
        <v>24</v>
      </c>
      <c r="E5" s="165" t="s">
        <v>3</v>
      </c>
      <c r="F5" s="165" t="s">
        <v>18</v>
      </c>
      <c r="G5" s="165" t="s">
        <v>4</v>
      </c>
      <c r="H5" s="165" t="s">
        <v>5</v>
      </c>
      <c r="I5" s="165" t="s">
        <v>6</v>
      </c>
      <c r="J5" s="165" t="s">
        <v>7</v>
      </c>
      <c r="K5" s="165" t="s">
        <v>47</v>
      </c>
      <c r="L5" s="165" t="s">
        <v>9</v>
      </c>
      <c r="M5" s="165" t="s">
        <v>12</v>
      </c>
      <c r="N5" s="165" t="s">
        <v>13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166" t="s">
        <v>48</v>
      </c>
      <c r="W5" s="166" t="s">
        <v>22</v>
      </c>
      <c r="X5" s="166" t="s">
        <v>23</v>
      </c>
      <c r="Y5" s="165" t="s">
        <v>21</v>
      </c>
      <c r="Z5" s="165"/>
      <c r="AA5" s="165"/>
      <c r="AB5" s="165"/>
      <c r="AC5" s="167" t="s">
        <v>91</v>
      </c>
      <c r="AD5" s="167" t="s">
        <v>92</v>
      </c>
      <c r="AE5" s="169" t="s">
        <v>212</v>
      </c>
      <c r="AF5" s="170"/>
      <c r="AG5" s="166" t="s">
        <v>199</v>
      </c>
      <c r="AH5" s="166" t="s">
        <v>203</v>
      </c>
      <c r="AI5" s="166"/>
      <c r="AJ5" s="166"/>
    </row>
    <row r="6" spans="1:45" ht="44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6"/>
      <c r="X6" s="166"/>
      <c r="Y6" s="8" t="s">
        <v>43</v>
      </c>
      <c r="Z6" s="8" t="s">
        <v>44</v>
      </c>
      <c r="AA6" s="8" t="s">
        <v>45</v>
      </c>
      <c r="AB6" s="8" t="s">
        <v>46</v>
      </c>
      <c r="AC6" s="168"/>
      <c r="AD6" s="168"/>
      <c r="AE6" s="74" t="s">
        <v>213</v>
      </c>
      <c r="AF6" s="74" t="s">
        <v>214</v>
      </c>
      <c r="AG6" s="165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>
        <v>1</v>
      </c>
      <c r="C7" s="4">
        <v>273</v>
      </c>
      <c r="D7" s="4">
        <v>273</v>
      </c>
      <c r="E7" s="4">
        <v>900</v>
      </c>
      <c r="F7" s="4">
        <v>1028</v>
      </c>
      <c r="G7" s="4">
        <v>367</v>
      </c>
      <c r="H7" s="4">
        <v>367</v>
      </c>
      <c r="I7" s="4">
        <v>381</v>
      </c>
      <c r="J7" s="4">
        <v>381</v>
      </c>
      <c r="K7" s="13">
        <v>30</v>
      </c>
      <c r="L7" s="13">
        <v>30</v>
      </c>
      <c r="M7" s="375">
        <v>10</v>
      </c>
      <c r="N7" s="375">
        <v>10</v>
      </c>
      <c r="O7" s="375">
        <v>0</v>
      </c>
      <c r="P7" s="375">
        <v>2</v>
      </c>
      <c r="Q7" s="4">
        <v>2094</v>
      </c>
      <c r="R7" s="4">
        <v>2094</v>
      </c>
      <c r="S7" s="4">
        <v>2094</v>
      </c>
      <c r="T7" s="4">
        <v>2094</v>
      </c>
      <c r="U7" s="4">
        <v>23</v>
      </c>
      <c r="V7" s="4">
        <v>1</v>
      </c>
      <c r="W7" s="4">
        <v>30</v>
      </c>
      <c r="X7" s="4">
        <v>30</v>
      </c>
      <c r="Y7" s="4">
        <v>16</v>
      </c>
      <c r="Z7" s="4">
        <v>16</v>
      </c>
      <c r="AA7" s="4">
        <v>16</v>
      </c>
      <c r="AB7" s="4">
        <v>16</v>
      </c>
      <c r="AC7" s="4"/>
      <c r="AD7" s="4"/>
      <c r="AE7" s="4"/>
      <c r="AF7" s="4"/>
      <c r="AG7" s="4">
        <v>100</v>
      </c>
      <c r="AH7" s="4">
        <v>20</v>
      </c>
      <c r="AI7" s="4">
        <v>10</v>
      </c>
      <c r="AJ7" s="4">
        <v>10</v>
      </c>
      <c r="AK7" s="53"/>
      <c r="AL7" s="3">
        <f>Y7+$AK7</f>
        <v>16</v>
      </c>
      <c r="AM7" s="3">
        <f>Z7+$AK7</f>
        <v>16</v>
      </c>
      <c r="AN7" s="3">
        <f>AA7+$AK7</f>
        <v>16</v>
      </c>
      <c r="AO7" s="3">
        <f>AB7+$AK7</f>
        <v>16</v>
      </c>
      <c r="AP7" s="3">
        <f>G7-$AK7</f>
        <v>367</v>
      </c>
      <c r="AQ7" s="3">
        <f>H7-$AK7</f>
        <v>367</v>
      </c>
      <c r="AR7" s="3">
        <f>I7-$AK7</f>
        <v>381</v>
      </c>
      <c r="AS7" s="3">
        <f>J7-$AK7</f>
        <v>381</v>
      </c>
    </row>
    <row r="8" spans="1:45" ht="23.25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A4:U4"/>
    <mergeCell ref="Y4:AD4"/>
    <mergeCell ref="Y2:AD3"/>
    <mergeCell ref="A1:X1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7"/>
  <sheetViews>
    <sheetView zoomScale="85" zoomScaleNormal="85" workbookViewId="0">
      <selection activeCell="AJ3" sqref="AJ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229" t="str">
        <f>정보!C2</f>
        <v>(와이드) 제작변환 자료( 서울 종로구 조계종불교문화역사기념관-2차 ) _김운호소장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37"/>
      <c r="AT1" s="37"/>
    </row>
    <row r="2" spans="1:61" ht="29.25" customHeight="1" x14ac:dyDescent="0.3">
      <c r="A2" s="23" t="s">
        <v>96</v>
      </c>
      <c r="B2" s="105">
        <v>2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04" t="s">
        <v>113</v>
      </c>
      <c r="J2" s="205"/>
      <c r="K2" s="205"/>
      <c r="L2" s="205"/>
      <c r="M2" s="206">
        <v>1</v>
      </c>
      <c r="N2" s="206"/>
      <c r="O2" s="197" t="s">
        <v>89</v>
      </c>
      <c r="P2" s="217"/>
      <c r="Q2" s="218">
        <v>0</v>
      </c>
      <c r="R2" s="218"/>
      <c r="S2" s="165" t="s">
        <v>83</v>
      </c>
      <c r="T2" s="220"/>
      <c r="U2" s="220"/>
      <c r="V2" s="221">
        <v>0</v>
      </c>
      <c r="W2" s="221"/>
      <c r="X2" s="199" t="s">
        <v>205</v>
      </c>
      <c r="Y2" s="200"/>
      <c r="Z2" s="203" t="str">
        <f>정보!B5</f>
        <v>TKEK HD S20D-OR</v>
      </c>
      <c r="AA2" s="203"/>
      <c r="AB2" s="203"/>
      <c r="AC2" s="203"/>
      <c r="AD2" s="203"/>
      <c r="AE2" s="203"/>
      <c r="AF2" s="203"/>
      <c r="AG2" s="203"/>
      <c r="AH2" s="201" t="s">
        <v>90</v>
      </c>
      <c r="AI2" s="202"/>
      <c r="AJ2" s="190">
        <v>3</v>
      </c>
      <c r="AK2" s="190"/>
      <c r="AL2" s="1"/>
      <c r="AM2" s="186" t="s">
        <v>229</v>
      </c>
      <c r="AN2" s="187"/>
      <c r="AO2" s="188">
        <v>0</v>
      </c>
      <c r="AP2" s="188"/>
      <c r="AQ2" s="1"/>
      <c r="AR2" s="1"/>
    </row>
    <row r="3" spans="1:61" ht="24.75" customHeight="1" x14ac:dyDescent="0.3">
      <c r="A3" s="28" t="str">
        <f>'와이드(실측)'!A3</f>
        <v>현장명 : 서울 종로구 조계종불교문화역사기념관-2차,   (재질) : HL Ecolor Bronze 1.2T</v>
      </c>
      <c r="B3" s="2"/>
      <c r="C3" s="2"/>
      <c r="D3" s="2"/>
      <c r="E3" s="2"/>
      <c r="F3" s="2"/>
      <c r="G3" s="2"/>
      <c r="H3" s="2"/>
      <c r="I3" s="197" t="s">
        <v>228</v>
      </c>
      <c r="J3" s="197"/>
      <c r="K3" s="197"/>
      <c r="L3" s="197"/>
      <c r="M3" s="207">
        <v>3</v>
      </c>
      <c r="N3" s="207"/>
      <c r="O3" s="217" t="s">
        <v>77</v>
      </c>
      <c r="P3" s="217"/>
      <c r="Q3" s="224">
        <v>0</v>
      </c>
      <c r="R3" s="224"/>
      <c r="S3" s="225" t="s">
        <v>227</v>
      </c>
      <c r="T3" s="225"/>
      <c r="U3" s="225"/>
      <c r="V3" s="226">
        <f>BI7</f>
        <v>0</v>
      </c>
      <c r="W3" s="226"/>
      <c r="X3" s="219" t="s">
        <v>78</v>
      </c>
      <c r="Y3" s="219"/>
      <c r="Z3" s="227">
        <v>1</v>
      </c>
      <c r="AA3" s="227"/>
      <c r="AC3" s="208" t="s">
        <v>309</v>
      </c>
      <c r="AD3" s="208"/>
      <c r="AE3" s="208">
        <f>'와이드(실측)'!Y7</f>
        <v>16</v>
      </c>
      <c r="AF3" s="208"/>
      <c r="AG3" s="3"/>
      <c r="AH3" s="198" t="s">
        <v>73</v>
      </c>
      <c r="AI3" s="198"/>
      <c r="AJ3" s="26">
        <v>4</v>
      </c>
      <c r="AK3" s="15" t="s">
        <v>74</v>
      </c>
      <c r="AL3" s="14">
        <v>4</v>
      </c>
      <c r="AM3" s="189" t="s">
        <v>230</v>
      </c>
      <c r="AN3" s="189"/>
      <c r="AO3" s="191" t="s">
        <v>323</v>
      </c>
      <c r="AP3" s="192"/>
      <c r="AQ3" s="195">
        <f>AU7</f>
        <v>9.9638041899071794</v>
      </c>
      <c r="AR3" s="196"/>
      <c r="BI3" s="178" t="s">
        <v>253</v>
      </c>
    </row>
    <row r="4" spans="1:61" ht="33" customHeight="1" x14ac:dyDescent="0.3">
      <c r="A4" s="228" t="str">
        <f>정보!B10</f>
        <v>제작치수 반영 : MH + (2), JB/JD +(3 ),  늘어난치수K -(3),  C + (0),   U + (0), OP - (2), R - (0),  기둥차감 - (0), A + (1)</v>
      </c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228"/>
      <c r="AA4" s="228"/>
      <c r="AB4" s="228"/>
      <c r="AC4" s="228"/>
      <c r="AD4" s="228"/>
      <c r="AE4" s="228"/>
      <c r="AF4" s="228"/>
      <c r="AG4" s="185">
        <f ca="1">TODAY()</f>
        <v>45303</v>
      </c>
      <c r="AH4" s="171"/>
      <c r="AI4" s="171"/>
      <c r="AJ4" s="9"/>
      <c r="AK4" s="184" t="s">
        <v>117</v>
      </c>
      <c r="AL4" s="184"/>
      <c r="AM4" s="162" t="s">
        <v>215</v>
      </c>
      <c r="AN4" s="162"/>
      <c r="AO4" s="84"/>
      <c r="AP4" s="193" t="s">
        <v>235</v>
      </c>
      <c r="AQ4" s="193"/>
      <c r="AR4" s="194"/>
      <c r="BI4" s="179"/>
    </row>
    <row r="5" spans="1:61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3</v>
      </c>
      <c r="F5" s="165" t="s">
        <v>18</v>
      </c>
      <c r="G5" s="165" t="s">
        <v>41</v>
      </c>
      <c r="H5" s="165" t="s">
        <v>42</v>
      </c>
      <c r="I5" s="209" t="s">
        <v>105</v>
      </c>
      <c r="J5" s="209" t="s">
        <v>106</v>
      </c>
      <c r="K5" s="182" t="s">
        <v>107</v>
      </c>
      <c r="L5" s="182" t="s">
        <v>108</v>
      </c>
      <c r="M5" s="213" t="s">
        <v>71</v>
      </c>
      <c r="N5" s="213" t="s">
        <v>72</v>
      </c>
      <c r="O5" s="165" t="s">
        <v>8</v>
      </c>
      <c r="P5" s="165" t="s">
        <v>9</v>
      </c>
      <c r="Q5" s="165" t="s">
        <v>12</v>
      </c>
      <c r="R5" s="165" t="s">
        <v>13</v>
      </c>
      <c r="S5" s="165" t="s">
        <v>10</v>
      </c>
      <c r="T5" s="165" t="s">
        <v>11</v>
      </c>
      <c r="U5" s="211" t="s">
        <v>14</v>
      </c>
      <c r="V5" s="211" t="s">
        <v>15</v>
      </c>
      <c r="W5" s="212" t="s">
        <v>16</v>
      </c>
      <c r="X5" s="212" t="s">
        <v>17</v>
      </c>
      <c r="Y5" s="165" t="s">
        <v>19</v>
      </c>
      <c r="Z5" s="165" t="s">
        <v>20</v>
      </c>
      <c r="AA5" s="166" t="s">
        <v>22</v>
      </c>
      <c r="AB5" s="166" t="s">
        <v>23</v>
      </c>
      <c r="AC5" s="222" t="s">
        <v>79</v>
      </c>
      <c r="AD5" s="223"/>
      <c r="AE5" s="223"/>
      <c r="AF5" s="223"/>
      <c r="AG5" s="215" t="s">
        <v>91</v>
      </c>
      <c r="AH5" s="215" t="s">
        <v>92</v>
      </c>
      <c r="AI5" s="230" t="s">
        <v>99</v>
      </c>
      <c r="AJ5" s="166" t="s">
        <v>61</v>
      </c>
      <c r="AK5" s="166" t="s">
        <v>34</v>
      </c>
      <c r="AL5" s="166" t="s">
        <v>35</v>
      </c>
      <c r="AM5" s="169" t="s">
        <v>212</v>
      </c>
      <c r="AN5" s="170"/>
      <c r="AO5" s="180" t="s">
        <v>199</v>
      </c>
      <c r="AP5" s="180" t="s">
        <v>204</v>
      </c>
      <c r="AQ5" s="180"/>
      <c r="AR5" s="180"/>
      <c r="AS5" s="178" t="s">
        <v>100</v>
      </c>
      <c r="AT5" s="178" t="s">
        <v>101</v>
      </c>
      <c r="AU5" s="179" t="s">
        <v>80</v>
      </c>
      <c r="AV5" s="232" t="s">
        <v>84</v>
      </c>
      <c r="AW5" s="235" t="s">
        <v>102</v>
      </c>
      <c r="AX5" s="234" t="s">
        <v>94</v>
      </c>
      <c r="AY5" s="234" t="s">
        <v>95</v>
      </c>
      <c r="AZ5" s="178" t="s">
        <v>93</v>
      </c>
      <c r="BC5" s="186" t="s">
        <v>28</v>
      </c>
      <c r="BD5" s="186"/>
      <c r="BE5" s="186" t="s">
        <v>29</v>
      </c>
      <c r="BF5" s="186"/>
      <c r="BG5" s="6" t="s">
        <v>50</v>
      </c>
      <c r="BH5" s="177" t="s">
        <v>104</v>
      </c>
      <c r="BI5" s="176" t="s">
        <v>226</v>
      </c>
    </row>
    <row r="6" spans="1:61" ht="48" customHeight="1" x14ac:dyDescent="0.3">
      <c r="A6" s="165"/>
      <c r="B6" s="165"/>
      <c r="C6" s="165"/>
      <c r="D6" s="165"/>
      <c r="E6" s="165"/>
      <c r="F6" s="165"/>
      <c r="G6" s="165"/>
      <c r="H6" s="165"/>
      <c r="I6" s="210"/>
      <c r="J6" s="210"/>
      <c r="K6" s="183"/>
      <c r="L6" s="183"/>
      <c r="M6" s="214"/>
      <c r="N6" s="214"/>
      <c r="O6" s="165"/>
      <c r="P6" s="165"/>
      <c r="Q6" s="165"/>
      <c r="R6" s="165"/>
      <c r="S6" s="165"/>
      <c r="T6" s="165"/>
      <c r="U6" s="211"/>
      <c r="V6" s="211"/>
      <c r="W6" s="212"/>
      <c r="X6" s="212"/>
      <c r="Y6" s="165"/>
      <c r="Z6" s="165"/>
      <c r="AA6" s="166"/>
      <c r="AB6" s="166"/>
      <c r="AC6" s="8" t="s">
        <v>67</v>
      </c>
      <c r="AD6" s="8" t="s">
        <v>68</v>
      </c>
      <c r="AE6" s="8" t="s">
        <v>69</v>
      </c>
      <c r="AF6" s="8" t="s">
        <v>70</v>
      </c>
      <c r="AG6" s="216"/>
      <c r="AH6" s="216"/>
      <c r="AI6" s="231"/>
      <c r="AJ6" s="166"/>
      <c r="AK6" s="165"/>
      <c r="AL6" s="165"/>
      <c r="AM6" s="74" t="s">
        <v>213</v>
      </c>
      <c r="AN6" s="74" t="s">
        <v>214</v>
      </c>
      <c r="AO6" s="181"/>
      <c r="AP6" s="109" t="s">
        <v>200</v>
      </c>
      <c r="AQ6" s="109" t="s">
        <v>201</v>
      </c>
      <c r="AR6" s="109" t="s">
        <v>202</v>
      </c>
      <c r="AS6" s="179"/>
      <c r="AT6" s="179"/>
      <c r="AU6" s="179"/>
      <c r="AV6" s="233"/>
      <c r="AW6" s="236"/>
      <c r="AX6" s="234"/>
      <c r="AY6" s="234"/>
      <c r="AZ6" s="179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77"/>
      <c r="BI6" s="176"/>
    </row>
    <row r="7" spans="1:61" ht="26.25" customHeight="1" x14ac:dyDescent="0.3">
      <c r="A7" s="31">
        <f>'와이드(실측)'!A7</f>
        <v>0</v>
      </c>
      <c r="B7" s="31" t="str">
        <f>'와이드(실측)'!B7&amp;"F"</f>
        <v>1F</v>
      </c>
      <c r="C7" s="31">
        <f>'와이드(실측)'!C7+와이드MH더함-IF(AND(소장="추영덕",Y7=0),1.2)</f>
        <v>275</v>
      </c>
      <c r="D7" s="31">
        <f>'와이드(실측)'!D7+와이드MH더함-IF(AND(소장="추영덕",Y7=0),1.2)</f>
        <v>275</v>
      </c>
      <c r="E7" s="135">
        <f>'와이드(실측)'!E7-와이드OP</f>
        <v>898</v>
      </c>
      <c r="F7" s="31">
        <f>'와이드(실측)'!F7-와이드R</f>
        <v>1028</v>
      </c>
      <c r="G7" s="50">
        <f>'와이드(실측)'!G7+와이드JBJD키움치수+IF(BI7=1,AC7,0)</f>
        <v>370</v>
      </c>
      <c r="H7" s="50">
        <f>'와이드(실측)'!H7+와이드JBJD키움치수+IF(BI7=1,AE7,0)</f>
        <v>370</v>
      </c>
      <c r="I7" s="50">
        <f>'와이드(실측)'!I7+MAX(AS7,AT7)+와이드JBJD키움치수+IF(BI7=1,AC7,0)</f>
        <v>392</v>
      </c>
      <c r="J7" s="50">
        <f>'와이드(실측)'!I7+MAX(AS7,AT7)+와이드JBJD키움치수+IF(BI7=1,AD7,0)-IF(와이드JB하부늘치=1,'와이드(실측)'!Y7-'와이드(실측)'!Z7,0)</f>
        <v>392</v>
      </c>
      <c r="K7" s="50">
        <f>'와이드(실측)'!J7+MAX(AS7,AT7)+와이드JBJD키움치수+IF(BI7=1,AE7,0)</f>
        <v>392</v>
      </c>
      <c r="L7" s="50">
        <f>'와이드(실측)'!J7+MAX(AS7,AT7)+와이드JBJD키움치수+IF(BI7=1,AF7,0)-IF(와이드JB하부늘치=1,'와이드(실측)'!AA7-'와이드(실측)'!AB7,0)</f>
        <v>392</v>
      </c>
      <c r="M7" s="31">
        <f t="shared" ref="M7:N7" si="0">IF(소장="손상민",0,O7-1.5)</f>
        <v>28.5</v>
      </c>
      <c r="N7" s="31">
        <f t="shared" si="0"/>
        <v>28.5</v>
      </c>
      <c r="O7" s="31">
        <f>IF(S7&lt;9,'와이드(실측)'!K7+1.2,IF(ISNUMBER('와이드(실측)'!K7),'와이드(실측)'!K7+와이드C값,0))</f>
        <v>30</v>
      </c>
      <c r="P7" s="31">
        <f>IF(T7&lt;9,'와이드(실측)'!L7+1.2,IF(ISNUMBER('와이드(실측)'!L7),'와이드(실측)'!L7+와이드C값,0))</f>
        <v>30</v>
      </c>
      <c r="Q7" s="32">
        <f>ROUNDUP(AV7,1)</f>
        <v>16.100000000000001</v>
      </c>
      <c r="R7" s="38">
        <f>ROUNDUP(AW7,1)</f>
        <v>16.100000000000001</v>
      </c>
      <c r="S7" s="31">
        <f>IF(ISNUMBER('와이드(실측)'!O7),'와이드(실측)'!O7+와이드제작!AS7+와이드A늘림,0)</f>
        <v>9</v>
      </c>
      <c r="T7" s="31">
        <f>IF(ISNUMBER('와이드(실측)'!P7),'와이드(실측)'!P7+와이드제작!AT7+와이드A늘림,0)</f>
        <v>11</v>
      </c>
      <c r="U7" s="31">
        <f>'와이드(실측)'!Q7-와이드기둥차감</f>
        <v>2094</v>
      </c>
      <c r="V7" s="31">
        <f>'와이드(실측)'!R7-와이드기둥차감</f>
        <v>2094</v>
      </c>
      <c r="W7" s="31">
        <f>'와이드(실측)'!S7-와이드기둥차감</f>
        <v>2094</v>
      </c>
      <c r="X7" s="31">
        <f>'와이드(실측)'!T7-와이드기둥차감</f>
        <v>2094</v>
      </c>
      <c r="Y7" s="31">
        <f>IF(소장="손상민",IF(ISNUMBER('와이드(실측)'!U7),'와이드(실측)'!U7+1.2,0),IF(ISNUMBER('와이드(실측)'!U7),'와이드(실측)'!U7+와이드U,0))</f>
        <v>23</v>
      </c>
      <c r="Z7" s="31">
        <f>IF(소장="손상민",MAX(Q7,R7)+3.2,IF(ISNUMBER('와이드(실측)'!V7),'와이드(실측)'!V7+1.5+와이드제작!Q7+1,0))</f>
        <v>19.600000000000001</v>
      </c>
      <c r="AA7" s="31">
        <f>'와이드(실측)'!W7+뒷날개치수더함</f>
        <v>30</v>
      </c>
      <c r="AB7" s="31">
        <f>'와이드(실측)'!X7+뒷날개치수더함</f>
        <v>30</v>
      </c>
      <c r="AC7" s="31">
        <f>'와이드(실측)'!Y7-와이드늘치</f>
        <v>13</v>
      </c>
      <c r="AD7" s="31">
        <f>IF(와이드JB하부늘치=1,AC7,'와이드(실측)'!Z7-와이드늘치)</f>
        <v>13</v>
      </c>
      <c r="AE7" s="31">
        <f>'와이드(실측)'!AA7-와이드늘치</f>
        <v>13</v>
      </c>
      <c r="AF7" s="31">
        <f>IF(와이드JB하부늘치=1,AE7,'와이드(실측)'!AB7-와이드늘치)</f>
        <v>13</v>
      </c>
      <c r="AG7" s="31">
        <f xml:space="preserve"> IF(소장&lt;&gt;"손상민",IF('와이드(실측)'!AC7&gt;0,'와이드(실측)'!AC7,C7-1.2),IF('와이드(실측)'!AC7&gt;0,'와이드(실측)'!AC7+1.2,C7) )</f>
        <v>273.8</v>
      </c>
      <c r="AH7" s="31">
        <f xml:space="preserve"> IF(소장&lt;&gt;"손상민",IF('와이드(실측)'!AD7&gt;0,'와이드(실측)'!AD7,D7-1.2),IF('와이드(실측)'!AD7&gt;0,'와이드(실측)'!AD7+1.2,D7))</f>
        <v>273.8</v>
      </c>
      <c r="AI7" s="51">
        <f>IF(Z7&gt;0,Z7-MAX(Q7,R7),0)</f>
        <v>3.5</v>
      </c>
      <c r="AJ7" s="31" t="str">
        <f t="shared" ref="AJ7" si="1">BA7&amp;"*"&amp;BB7</f>
        <v>1085*725.8</v>
      </c>
      <c r="AK7" s="31" t="str">
        <f t="shared" ref="AK7" si="2">BD7&amp;"*"&amp;BC7</f>
        <v>2367.8*469.2</v>
      </c>
      <c r="AL7" s="31" t="str">
        <f t="shared" ref="AL7" si="3">BF7&amp;"*"&amp;BE7</f>
        <v>2367.8*471.2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100</v>
      </c>
      <c r="AP7" s="31">
        <f>IF('와이드(실측)'!AH7&gt;5,'와이드(실측)'!AH7+뒷날개치수더함,'와이드(실측)'!AH7)</f>
        <v>20</v>
      </c>
      <c r="AQ7" s="31">
        <f>'와이드(실측)'!AI7</f>
        <v>10</v>
      </c>
      <c r="AR7" s="31">
        <f>'와이드(실측)'!AJ7</f>
        <v>10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8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8</v>
      </c>
      <c r="AU7" s="20">
        <f>DEGREES(ATAN((F7-E7)/2/(H7)))</f>
        <v>9.9638041899071794</v>
      </c>
      <c r="AV7" s="21">
        <f>ABS(G7-COS(RADIANS(AU7))*I7)</f>
        <v>16.087564472377892</v>
      </c>
      <c r="AW7" s="21">
        <f>ABS(H7-COS(RADIANS(AU7))*K7)</f>
        <v>16.087564472377892</v>
      </c>
      <c r="AX7" s="21">
        <f>'와이드(실측)'!M7+AS7</f>
        <v>18</v>
      </c>
      <c r="AY7" s="21">
        <f>'와이드(실측)'!N7+AS7</f>
        <v>18</v>
      </c>
      <c r="AZ7" s="20">
        <f>AV7-MAX(AX7,AY7)</f>
        <v>-1.9124355276221081</v>
      </c>
      <c r="BA7" s="41">
        <f>IF(소장&lt;&gt;"손상민",F7+IF(Y7+Z7&gt;0,N7+M7,0),F7)</f>
        <v>1085</v>
      </c>
      <c r="BB7" s="42">
        <f>MAX(C7,D7)+MAX(G7,H7)+AA7-1.2*$AJ$3+IF(BI7=0,MAX(AE7,AC7),0)+IF(Y7=0,1.2,0)+IF(Z7=0,1.2,0)+IF(소장&lt;&gt;"손상민", Y7+Z7,IF('와이드(실측)'!U7=0,0,2.4))</f>
        <v>725.80000000000007</v>
      </c>
      <c r="BC7" s="41">
        <f>S7+O7+MAX(I7,J7)+AB7-1.2*$AL$3+IF(BI7=0,MAX(AD7,AC7),0)+IF(S7=0,1.2,0)-IF(AR7=90,2.4,0)</f>
        <v>469.2</v>
      </c>
      <c r="BD7" s="41">
        <f>MAX(U7,V7)+AG7</f>
        <v>2367.8000000000002</v>
      </c>
      <c r="BE7" s="41">
        <f>T7+P7+MAX(K7,L7)+AB7-1.2*$AL$3+IF(BI7=0,MAX(AE7,AF7),0)+IF(T7=0,1.2,0)-IF(AR7=90,2.4,0)</f>
        <v>471.2</v>
      </c>
      <c r="BF7" s="41">
        <f>MAX(W7,X7)+AH7</f>
        <v>2367.8000000000002</v>
      </c>
      <c r="BG7" s="6">
        <f t="shared" ref="BG7" si="4">I7-G7-Q7</f>
        <v>5.8999999999999986</v>
      </c>
      <c r="BH7" s="43" t="str">
        <f>IF(AND(C7&lt;&gt;D7,Y7&gt;0),"NG","")</f>
        <v/>
      </c>
      <c r="BI7" s="77">
        <f>IF(AND(MIN(AC7,AE7)&gt;=9.2,ABS(F7-E7)&gt;15),0,1)</f>
        <v>0</v>
      </c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">
    <cfRule type="cellIs" dxfId="85" priority="52" operator="greaterThan">
      <formula>3</formula>
    </cfRule>
  </conditionalFormatting>
  <conditionalFormatting sqref="F7">
    <cfRule type="cellIs" dxfId="84" priority="39" operator="greaterThan">
      <formula>1210</formula>
    </cfRule>
  </conditionalFormatting>
  <conditionalFormatting sqref="I7:L7 C7:D7">
    <cfRule type="cellIs" dxfId="83" priority="38" operator="greaterThan">
      <formula>500</formula>
    </cfRule>
  </conditionalFormatting>
  <conditionalFormatting sqref="C7:D7">
    <cfRule type="cellIs" dxfId="82" priority="36" operator="notEqual">
      <formula>$D7</formula>
    </cfRule>
  </conditionalFormatting>
  <conditionalFormatting sqref="D7">
    <cfRule type="cellIs" dxfId="81" priority="35" operator="notEqual">
      <formula>$C7</formula>
    </cfRule>
  </conditionalFormatting>
  <conditionalFormatting sqref="AO7:AR7">
    <cfRule type="cellIs" dxfId="80" priority="17" operator="greaterThan">
      <formula>1.2</formula>
    </cfRule>
  </conditionalFormatting>
  <conditionalFormatting sqref="AO7">
    <cfRule type="cellIs" dxfId="79" priority="16" operator="greaterThan">
      <formula>0</formula>
    </cfRule>
  </conditionalFormatting>
  <conditionalFormatting sqref="G7">
    <cfRule type="cellIs" dxfId="78" priority="14" operator="notEqual">
      <formula>H7</formula>
    </cfRule>
  </conditionalFormatting>
  <conditionalFormatting sqref="H7">
    <cfRule type="cellIs" dxfId="77" priority="13" operator="notEqual">
      <formula>G7</formula>
    </cfRule>
  </conditionalFormatting>
  <conditionalFormatting sqref="I7">
    <cfRule type="cellIs" dxfId="76" priority="12" operator="notEqual">
      <formula>J7</formula>
    </cfRule>
  </conditionalFormatting>
  <conditionalFormatting sqref="J7">
    <cfRule type="cellIs" dxfId="75" priority="11" operator="notEqual">
      <formula>I7</formula>
    </cfRule>
  </conditionalFormatting>
  <conditionalFormatting sqref="K7">
    <cfRule type="cellIs" dxfId="74" priority="10" operator="notEqual">
      <formula>L7</formula>
    </cfRule>
  </conditionalFormatting>
  <conditionalFormatting sqref="L7">
    <cfRule type="cellIs" dxfId="73" priority="9" operator="notEqual">
      <formula>K7</formula>
    </cfRule>
  </conditionalFormatting>
  <conditionalFormatting sqref="AG7">
    <cfRule type="cellIs" dxfId="72" priority="8" operator="notEqual">
      <formula>AH7</formula>
    </cfRule>
  </conditionalFormatting>
  <conditionalFormatting sqref="AH7">
    <cfRule type="cellIs" dxfId="71" priority="7" operator="notEqual">
      <formula>AG7</formula>
    </cfRule>
  </conditionalFormatting>
  <conditionalFormatting sqref="AC7:AF7">
    <cfRule type="expression" dxfId="70" priority="6">
      <formula>$BI7</formula>
    </cfRule>
  </conditionalFormatting>
  <conditionalFormatting sqref="Y7">
    <cfRule type="expression" dxfId="69" priority="2">
      <formula>소장="손상민"</formula>
    </cfRule>
  </conditionalFormatting>
  <conditionalFormatting sqref="Z7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activeCell="H8" sqref="H8:H1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4" t="str">
        <f>정보!B3</f>
        <v>(멍텅구리) 실측서 ( 서울 종로구 조계종불교문화역사기념관-2차 ) _김운호소장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서울 종로구 조계종불교문화역사기념관-2차,   (재질) : HL Ecolor Bronze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72" t="str">
        <f>정보!B11</f>
        <v>제작치수 반영 : JB/JD +(3 ),  늘어난치수K -(3),  C + (0),  U +(0), OP - (2), R - (0),  기둥차감 - (0), 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9"/>
      <c r="AA4" s="9"/>
      <c r="AB4" s="162" t="s">
        <v>215</v>
      </c>
      <c r="AC4" s="162"/>
      <c r="AD4" s="81" t="s">
        <v>234</v>
      </c>
    </row>
    <row r="5" spans="1:39" ht="25.9" customHeight="1" x14ac:dyDescent="0.3">
      <c r="A5" s="164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165" t="s">
        <v>6</v>
      </c>
      <c r="H5" s="165" t="s">
        <v>7</v>
      </c>
      <c r="I5" s="165" t="s">
        <v>8</v>
      </c>
      <c r="J5" s="165" t="s">
        <v>9</v>
      </c>
      <c r="K5" s="165" t="s">
        <v>10</v>
      </c>
      <c r="L5" s="165" t="s">
        <v>11</v>
      </c>
      <c r="M5" s="165" t="s">
        <v>14</v>
      </c>
      <c r="N5" s="165" t="s">
        <v>15</v>
      </c>
      <c r="O5" s="165" t="s">
        <v>16</v>
      </c>
      <c r="P5" s="165" t="s">
        <v>17</v>
      </c>
      <c r="Q5" s="165" t="s">
        <v>19</v>
      </c>
      <c r="R5" s="165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6" t="s">
        <v>203</v>
      </c>
      <c r="Z5" s="166"/>
      <c r="AA5" s="166"/>
      <c r="AB5" s="169" t="s">
        <v>212</v>
      </c>
      <c r="AC5" s="170"/>
      <c r="AD5" s="80" t="s">
        <v>231</v>
      </c>
    </row>
    <row r="6" spans="1:39" ht="47.25" customHeight="1" x14ac:dyDescent="0.3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>
        <v>4</v>
      </c>
      <c r="C7" s="4">
        <v>899</v>
      </c>
      <c r="D7" s="4">
        <v>899</v>
      </c>
      <c r="E7" s="4">
        <v>376</v>
      </c>
      <c r="F7" s="4">
        <v>376</v>
      </c>
      <c r="G7" s="4">
        <v>376</v>
      </c>
      <c r="H7" s="4">
        <v>376</v>
      </c>
      <c r="I7" s="4">
        <v>9</v>
      </c>
      <c r="J7" s="4">
        <v>25</v>
      </c>
      <c r="K7" s="375">
        <v>0</v>
      </c>
      <c r="L7" s="375">
        <v>0</v>
      </c>
      <c r="M7" s="375">
        <v>2090</v>
      </c>
      <c r="N7" s="4">
        <v>2090</v>
      </c>
      <c r="O7" s="4">
        <v>2092</v>
      </c>
      <c r="P7" s="4">
        <v>2092</v>
      </c>
      <c r="Q7" s="4">
        <v>10</v>
      </c>
      <c r="R7" s="375">
        <v>0</v>
      </c>
      <c r="S7" s="4">
        <v>30</v>
      </c>
      <c r="T7" s="4">
        <v>30</v>
      </c>
      <c r="U7" s="4">
        <v>14</v>
      </c>
      <c r="V7" s="4">
        <v>14</v>
      </c>
      <c r="W7" s="4">
        <v>14</v>
      </c>
      <c r="X7" s="4">
        <v>14</v>
      </c>
      <c r="Y7" s="4">
        <v>20</v>
      </c>
      <c r="Z7" s="4">
        <v>10</v>
      </c>
      <c r="AA7" s="4">
        <v>10</v>
      </c>
      <c r="AB7" s="4"/>
      <c r="AC7" s="4"/>
      <c r="AD7" s="4"/>
      <c r="AE7" s="55">
        <v>2</v>
      </c>
      <c r="AF7" s="3">
        <f t="shared" ref="AF7:AI11" si="0">U7+$AE7</f>
        <v>16</v>
      </c>
      <c r="AG7" s="3">
        <f t="shared" si="0"/>
        <v>16</v>
      </c>
      <c r="AH7" s="3">
        <f t="shared" si="0"/>
        <v>16</v>
      </c>
      <c r="AI7" s="3">
        <f t="shared" si="0"/>
        <v>16</v>
      </c>
      <c r="AJ7" s="3">
        <f t="shared" ref="AJ7:AM11" si="1">E7-$AE7</f>
        <v>374</v>
      </c>
      <c r="AK7" s="3">
        <f t="shared" si="1"/>
        <v>374</v>
      </c>
      <c r="AL7" s="3">
        <f t="shared" si="1"/>
        <v>374</v>
      </c>
      <c r="AM7" s="3">
        <f t="shared" si="1"/>
        <v>374</v>
      </c>
    </row>
    <row r="8" spans="1:39" ht="27" customHeight="1" x14ac:dyDescent="0.3">
      <c r="A8" s="127"/>
      <c r="B8" s="4">
        <v>3</v>
      </c>
      <c r="C8" s="4">
        <v>899</v>
      </c>
      <c r="D8" s="4">
        <v>1029</v>
      </c>
      <c r="E8" s="4">
        <v>377</v>
      </c>
      <c r="F8" s="4">
        <v>377</v>
      </c>
      <c r="G8" s="4">
        <v>380</v>
      </c>
      <c r="H8" s="4">
        <v>380</v>
      </c>
      <c r="I8" s="4">
        <v>32</v>
      </c>
      <c r="J8" s="4">
        <v>32</v>
      </c>
      <c r="K8" s="375">
        <v>1</v>
      </c>
      <c r="L8" s="375">
        <v>0</v>
      </c>
      <c r="M8" s="4">
        <v>2094</v>
      </c>
      <c r="N8" s="4">
        <v>2092</v>
      </c>
      <c r="O8" s="4">
        <v>2094</v>
      </c>
      <c r="P8" s="4">
        <v>2092</v>
      </c>
      <c r="Q8" s="4">
        <v>32</v>
      </c>
      <c r="R8" s="375">
        <v>0</v>
      </c>
      <c r="S8" s="4">
        <v>30</v>
      </c>
      <c r="T8" s="4">
        <v>30</v>
      </c>
      <c r="U8" s="4">
        <v>14</v>
      </c>
      <c r="V8" s="4">
        <v>14</v>
      </c>
      <c r="W8" s="4">
        <v>14</v>
      </c>
      <c r="X8" s="4">
        <v>14</v>
      </c>
      <c r="Y8" s="4">
        <v>20</v>
      </c>
      <c r="Z8" s="4">
        <v>10</v>
      </c>
      <c r="AA8" s="4">
        <v>10</v>
      </c>
      <c r="AB8" s="4"/>
      <c r="AC8" s="4"/>
      <c r="AD8" s="4"/>
      <c r="AE8" s="55">
        <v>1</v>
      </c>
      <c r="AF8" s="3">
        <f t="shared" si="0"/>
        <v>15</v>
      </c>
      <c r="AG8" s="3">
        <f t="shared" si="0"/>
        <v>15</v>
      </c>
      <c r="AH8" s="3">
        <f t="shared" si="0"/>
        <v>15</v>
      </c>
      <c r="AI8" s="3">
        <f t="shared" si="0"/>
        <v>15</v>
      </c>
      <c r="AJ8" s="3">
        <f t="shared" si="1"/>
        <v>376</v>
      </c>
      <c r="AK8" s="3">
        <f t="shared" si="1"/>
        <v>376</v>
      </c>
      <c r="AL8" s="3">
        <f t="shared" si="1"/>
        <v>379</v>
      </c>
      <c r="AM8" s="3">
        <f t="shared" si="1"/>
        <v>379</v>
      </c>
    </row>
    <row r="9" spans="1:39" ht="27" customHeight="1" x14ac:dyDescent="0.3">
      <c r="A9" s="127"/>
      <c r="B9" s="4">
        <v>2</v>
      </c>
      <c r="C9" s="4">
        <v>899</v>
      </c>
      <c r="D9" s="4">
        <v>1031</v>
      </c>
      <c r="E9" s="4">
        <v>378</v>
      </c>
      <c r="F9" s="4">
        <v>378</v>
      </c>
      <c r="G9" s="4">
        <v>381</v>
      </c>
      <c r="H9" s="4">
        <v>381</v>
      </c>
      <c r="I9" s="4">
        <v>32</v>
      </c>
      <c r="J9" s="4">
        <v>32</v>
      </c>
      <c r="K9" s="375">
        <v>2</v>
      </c>
      <c r="L9" s="375">
        <v>0</v>
      </c>
      <c r="M9" s="4">
        <v>2094</v>
      </c>
      <c r="N9" s="4">
        <v>2090</v>
      </c>
      <c r="O9" s="4">
        <v>2099</v>
      </c>
      <c r="P9" s="4">
        <v>2094</v>
      </c>
      <c r="Q9" s="4">
        <v>32</v>
      </c>
      <c r="R9" s="375">
        <v>3</v>
      </c>
      <c r="S9" s="4">
        <v>30</v>
      </c>
      <c r="T9" s="4">
        <v>30</v>
      </c>
      <c r="U9" s="4">
        <v>14</v>
      </c>
      <c r="V9" s="4">
        <v>14</v>
      </c>
      <c r="W9" s="4">
        <v>14</v>
      </c>
      <c r="X9" s="4">
        <v>14</v>
      </c>
      <c r="Y9" s="4">
        <v>20</v>
      </c>
      <c r="Z9" s="4">
        <v>10</v>
      </c>
      <c r="AA9" s="4">
        <v>10</v>
      </c>
      <c r="AB9" s="4"/>
      <c r="AC9" s="4"/>
      <c r="AD9" s="4"/>
      <c r="AE9" s="55"/>
      <c r="AF9" s="3">
        <f t="shared" ref="AF9:AF13" si="2">U9+$AE9</f>
        <v>14</v>
      </c>
      <c r="AG9" s="3">
        <f t="shared" ref="AG9:AG13" si="3">V9+$AE9</f>
        <v>14</v>
      </c>
      <c r="AH9" s="3">
        <f t="shared" ref="AH9:AH13" si="4">W9+$AE9</f>
        <v>14</v>
      </c>
      <c r="AI9" s="3">
        <f t="shared" ref="AI9:AI13" si="5">X9+$AE9</f>
        <v>14</v>
      </c>
      <c r="AJ9" s="3">
        <f t="shared" ref="AJ9:AJ13" si="6">E9-$AE9</f>
        <v>378</v>
      </c>
      <c r="AK9" s="3">
        <f t="shared" ref="AK9:AK13" si="7">F9-$AE9</f>
        <v>378</v>
      </c>
      <c r="AL9" s="3">
        <f t="shared" ref="AL9:AL13" si="8">G9-$AE9</f>
        <v>381</v>
      </c>
      <c r="AM9" s="3">
        <f t="shared" ref="AM9:AM13" si="9">H9-$AE9</f>
        <v>381</v>
      </c>
    </row>
    <row r="10" spans="1:39" ht="27" customHeight="1" x14ac:dyDescent="0.3">
      <c r="A10" s="127"/>
      <c r="B10" s="4" t="s">
        <v>338</v>
      </c>
      <c r="C10" s="4">
        <v>898</v>
      </c>
      <c r="D10" s="4">
        <v>1031</v>
      </c>
      <c r="E10" s="4">
        <v>379</v>
      </c>
      <c r="F10" s="4">
        <v>379</v>
      </c>
      <c r="G10" s="4">
        <v>382</v>
      </c>
      <c r="H10" s="4">
        <v>382</v>
      </c>
      <c r="I10" s="4">
        <v>30</v>
      </c>
      <c r="J10" s="4">
        <v>32</v>
      </c>
      <c r="K10" s="375">
        <v>3</v>
      </c>
      <c r="L10" s="375">
        <v>3</v>
      </c>
      <c r="M10" s="4">
        <v>2088</v>
      </c>
      <c r="N10" s="4">
        <v>2082</v>
      </c>
      <c r="O10" s="4">
        <v>2089</v>
      </c>
      <c r="P10" s="4">
        <v>2093</v>
      </c>
      <c r="Q10" s="4">
        <v>32</v>
      </c>
      <c r="R10" s="375">
        <v>4</v>
      </c>
      <c r="S10" s="4">
        <v>30</v>
      </c>
      <c r="T10" s="4">
        <v>30</v>
      </c>
      <c r="U10" s="4">
        <v>14</v>
      </c>
      <c r="V10" s="4">
        <v>14</v>
      </c>
      <c r="W10" s="4">
        <v>14</v>
      </c>
      <c r="X10" s="4">
        <v>14</v>
      </c>
      <c r="Y10" s="4">
        <v>20</v>
      </c>
      <c r="Z10" s="4">
        <v>10</v>
      </c>
      <c r="AA10" s="4">
        <v>10</v>
      </c>
      <c r="AB10" s="4"/>
      <c r="AC10" s="4"/>
      <c r="AD10" s="4"/>
      <c r="AE10" s="55">
        <v>-1</v>
      </c>
      <c r="AF10" s="3">
        <f t="shared" si="2"/>
        <v>13</v>
      </c>
      <c r="AG10" s="3">
        <f t="shared" si="3"/>
        <v>13</v>
      </c>
      <c r="AH10" s="3">
        <f t="shared" si="4"/>
        <v>13</v>
      </c>
      <c r="AI10" s="3">
        <f t="shared" si="5"/>
        <v>13</v>
      </c>
      <c r="AJ10" s="3">
        <f t="shared" si="6"/>
        <v>380</v>
      </c>
      <c r="AK10" s="3">
        <f t="shared" si="7"/>
        <v>380</v>
      </c>
      <c r="AL10" s="3">
        <f t="shared" si="8"/>
        <v>383</v>
      </c>
      <c r="AM10" s="3">
        <f t="shared" si="9"/>
        <v>383</v>
      </c>
    </row>
    <row r="11" spans="1:39" ht="27" customHeight="1" x14ac:dyDescent="0.3">
      <c r="A11" s="127"/>
      <c r="B11" s="4" t="s">
        <v>339</v>
      </c>
      <c r="C11" s="4">
        <v>898</v>
      </c>
      <c r="D11" s="4">
        <v>1031</v>
      </c>
      <c r="E11" s="4">
        <v>379</v>
      </c>
      <c r="F11" s="4">
        <v>379</v>
      </c>
      <c r="G11" s="4">
        <v>382</v>
      </c>
      <c r="H11" s="4">
        <v>382</v>
      </c>
      <c r="I11" s="4">
        <v>32</v>
      </c>
      <c r="J11" s="4">
        <v>32</v>
      </c>
      <c r="K11" s="375">
        <v>0</v>
      </c>
      <c r="L11" s="375">
        <v>3</v>
      </c>
      <c r="M11" s="4">
        <v>2100</v>
      </c>
      <c r="N11" s="4">
        <v>2093</v>
      </c>
      <c r="O11" s="4">
        <v>2098</v>
      </c>
      <c r="P11" s="4">
        <v>2093</v>
      </c>
      <c r="Q11" s="4">
        <v>32</v>
      </c>
      <c r="R11" s="375">
        <v>2</v>
      </c>
      <c r="S11" s="4">
        <v>30</v>
      </c>
      <c r="T11" s="4">
        <v>30</v>
      </c>
      <c r="U11" s="4">
        <v>14</v>
      </c>
      <c r="V11" s="4">
        <v>14</v>
      </c>
      <c r="W11" s="4">
        <v>14</v>
      </c>
      <c r="X11" s="4">
        <v>14</v>
      </c>
      <c r="Y11" s="4">
        <v>20</v>
      </c>
      <c r="Z11" s="4">
        <v>10</v>
      </c>
      <c r="AA11" s="4">
        <v>10</v>
      </c>
      <c r="AB11" s="4"/>
      <c r="AC11" s="4"/>
      <c r="AD11" s="4"/>
      <c r="AE11" s="55">
        <v>-1</v>
      </c>
      <c r="AF11" s="3">
        <f t="shared" si="2"/>
        <v>13</v>
      </c>
      <c r="AG11" s="3">
        <f t="shared" si="3"/>
        <v>13</v>
      </c>
      <c r="AH11" s="3">
        <f t="shared" si="4"/>
        <v>13</v>
      </c>
      <c r="AI11" s="3">
        <f t="shared" si="5"/>
        <v>13</v>
      </c>
      <c r="AJ11" s="3">
        <f t="shared" si="6"/>
        <v>380</v>
      </c>
      <c r="AK11" s="3">
        <f t="shared" si="7"/>
        <v>380</v>
      </c>
      <c r="AL11" s="3">
        <f t="shared" si="8"/>
        <v>383</v>
      </c>
      <c r="AM11" s="3">
        <f t="shared" si="9"/>
        <v>383</v>
      </c>
    </row>
    <row r="12" spans="1:39" ht="27" customHeight="1" x14ac:dyDescent="0.3">
      <c r="A12" s="127"/>
      <c r="B12" s="4" t="s">
        <v>340</v>
      </c>
      <c r="C12" s="4">
        <v>898</v>
      </c>
      <c r="D12" s="4">
        <v>1010</v>
      </c>
      <c r="E12" s="4">
        <v>322</v>
      </c>
      <c r="F12" s="4">
        <v>322</v>
      </c>
      <c r="G12" s="4">
        <v>325</v>
      </c>
      <c r="H12" s="4">
        <v>325</v>
      </c>
      <c r="I12" s="4">
        <v>35</v>
      </c>
      <c r="J12" s="4">
        <v>35</v>
      </c>
      <c r="K12" s="4">
        <v>2</v>
      </c>
      <c r="L12" s="375">
        <v>3</v>
      </c>
      <c r="M12" s="4">
        <v>2090</v>
      </c>
      <c r="N12" s="4">
        <v>2093</v>
      </c>
      <c r="O12" s="4">
        <v>2093</v>
      </c>
      <c r="P12" s="4">
        <v>2093</v>
      </c>
      <c r="Q12" s="4">
        <v>35</v>
      </c>
      <c r="R12" s="375">
        <v>3</v>
      </c>
      <c r="S12" s="4">
        <v>30</v>
      </c>
      <c r="T12" s="4">
        <v>30</v>
      </c>
      <c r="U12" s="4">
        <v>14</v>
      </c>
      <c r="V12" s="4">
        <v>14</v>
      </c>
      <c r="W12" s="4">
        <v>14</v>
      </c>
      <c r="X12" s="4">
        <v>14</v>
      </c>
      <c r="Y12" s="4">
        <v>20</v>
      </c>
      <c r="Z12" s="4">
        <v>10</v>
      </c>
      <c r="AA12" s="4">
        <v>10</v>
      </c>
      <c r="AB12" s="4"/>
      <c r="AC12" s="4"/>
      <c r="AD12" s="4"/>
      <c r="AE12" s="55"/>
      <c r="AF12" s="3">
        <f t="shared" si="2"/>
        <v>14</v>
      </c>
      <c r="AG12" s="3">
        <f t="shared" si="3"/>
        <v>14</v>
      </c>
      <c r="AH12" s="3">
        <f t="shared" si="4"/>
        <v>14</v>
      </c>
      <c r="AI12" s="3">
        <f t="shared" si="5"/>
        <v>14</v>
      </c>
      <c r="AJ12" s="3">
        <f t="shared" si="6"/>
        <v>322</v>
      </c>
      <c r="AK12" s="3">
        <f t="shared" si="7"/>
        <v>322</v>
      </c>
      <c r="AL12" s="3">
        <f t="shared" si="8"/>
        <v>325</v>
      </c>
      <c r="AM12" s="3">
        <f t="shared" si="9"/>
        <v>325</v>
      </c>
    </row>
    <row r="13" spans="1:39" ht="27" customHeight="1" x14ac:dyDescent="0.3">
      <c r="A13" s="127"/>
      <c r="B13" s="4" t="s">
        <v>341</v>
      </c>
      <c r="C13" s="4">
        <v>898</v>
      </c>
      <c r="D13" s="4">
        <v>1008</v>
      </c>
      <c r="E13" s="4">
        <v>323</v>
      </c>
      <c r="F13" s="4">
        <v>323</v>
      </c>
      <c r="G13" s="4">
        <v>326</v>
      </c>
      <c r="H13" s="4">
        <v>326</v>
      </c>
      <c r="I13" s="4">
        <v>35</v>
      </c>
      <c r="J13" s="4">
        <v>35</v>
      </c>
      <c r="K13" s="375">
        <v>8</v>
      </c>
      <c r="L13" s="375">
        <v>8</v>
      </c>
      <c r="M13" s="4">
        <v>2085</v>
      </c>
      <c r="N13" s="4">
        <v>2088</v>
      </c>
      <c r="O13" s="4">
        <v>2088</v>
      </c>
      <c r="P13" s="4">
        <v>2090</v>
      </c>
      <c r="Q13" s="4">
        <v>35</v>
      </c>
      <c r="R13" s="375">
        <v>10</v>
      </c>
      <c r="S13" s="4">
        <v>30</v>
      </c>
      <c r="T13" s="4">
        <v>30</v>
      </c>
      <c r="U13" s="4">
        <v>14</v>
      </c>
      <c r="V13" s="4">
        <v>14</v>
      </c>
      <c r="W13" s="4">
        <v>14</v>
      </c>
      <c r="X13" s="4">
        <v>14</v>
      </c>
      <c r="Y13" s="4">
        <v>20</v>
      </c>
      <c r="Z13" s="4">
        <v>10</v>
      </c>
      <c r="AA13" s="4">
        <v>10</v>
      </c>
      <c r="AB13" s="4"/>
      <c r="AC13" s="4"/>
      <c r="AD13" s="4"/>
      <c r="AE13" s="55">
        <v>-1</v>
      </c>
      <c r="AF13" s="3">
        <f t="shared" si="2"/>
        <v>13</v>
      </c>
      <c r="AG13" s="3">
        <f t="shared" si="3"/>
        <v>13</v>
      </c>
      <c r="AH13" s="3">
        <f t="shared" si="4"/>
        <v>13</v>
      </c>
      <c r="AI13" s="3">
        <f t="shared" si="5"/>
        <v>13</v>
      </c>
      <c r="AJ13" s="3">
        <f t="shared" si="6"/>
        <v>324</v>
      </c>
      <c r="AK13" s="3">
        <f t="shared" si="7"/>
        <v>324</v>
      </c>
      <c r="AL13" s="3">
        <f t="shared" si="8"/>
        <v>327</v>
      </c>
      <c r="AM13" s="3">
        <f t="shared" si="9"/>
        <v>327</v>
      </c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I5:I6"/>
    <mergeCell ref="N5:N6"/>
    <mergeCell ref="J5:J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K5:K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13"/>
  <sheetViews>
    <sheetView tabSelected="1" zoomScale="70" zoomScaleNormal="70" workbookViewId="0">
      <selection activeCell="A14" sqref="A14:XFD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4" t="str">
        <f>정보!C3</f>
        <v>(멍텅구리) 제작변환 자료( 서울 종로구 조계종불교문화역사기념관-2차 ) _김운호소장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"/>
      <c r="AJ1" s="1"/>
      <c r="AK1" s="273" t="s">
        <v>75</v>
      </c>
      <c r="AL1" s="273"/>
      <c r="AM1" s="273"/>
      <c r="AR1" s="24"/>
    </row>
    <row r="2" spans="1:53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79" t="s">
        <v>81</v>
      </c>
      <c r="H2" s="279"/>
      <c r="I2" s="279"/>
      <c r="J2" s="266">
        <v>0</v>
      </c>
      <c r="K2" s="266"/>
      <c r="L2" s="280" t="s">
        <v>113</v>
      </c>
      <c r="M2" s="280"/>
      <c r="N2" s="280"/>
      <c r="O2" s="280"/>
      <c r="P2" s="281">
        <v>1</v>
      </c>
      <c r="Q2" s="281"/>
      <c r="R2" s="267" t="s">
        <v>103</v>
      </c>
      <c r="S2" s="268"/>
      <c r="T2" s="108">
        <v>0</v>
      </c>
      <c r="U2" s="267" t="s">
        <v>88</v>
      </c>
      <c r="V2" s="268"/>
      <c r="W2" s="278">
        <v>0</v>
      </c>
      <c r="X2" s="278"/>
      <c r="Y2" s="258" t="s">
        <v>82</v>
      </c>
      <c r="Z2" s="275"/>
      <c r="AA2" s="276">
        <v>0</v>
      </c>
      <c r="AB2" s="276"/>
      <c r="AC2" s="98" t="s">
        <v>114</v>
      </c>
      <c r="AD2" s="274">
        <v>3</v>
      </c>
      <c r="AE2" s="274"/>
      <c r="AF2" s="1"/>
      <c r="AG2" s="1"/>
      <c r="AH2" s="1"/>
      <c r="AI2" s="1"/>
      <c r="AJ2" s="1"/>
      <c r="AK2" s="273"/>
      <c r="AL2" s="273"/>
      <c r="AM2" s="273"/>
      <c r="AR2" s="24"/>
    </row>
    <row r="3" spans="1:53" ht="33" customHeight="1" x14ac:dyDescent="0.3">
      <c r="A3" s="33" t="str">
        <f>'멍텅(실측)'!A3</f>
        <v>현장명 : 서울 종로구 조계종불교문화역사기념관-2차,   (재질) : HL Ecolor Bronze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3</v>
      </c>
      <c r="K3" s="269"/>
      <c r="L3" s="258" t="s">
        <v>77</v>
      </c>
      <c r="M3" s="258"/>
      <c r="N3" s="270">
        <v>0</v>
      </c>
      <c r="O3" s="270"/>
      <c r="P3" s="271" t="s">
        <v>227</v>
      </c>
      <c r="Q3" s="271"/>
      <c r="R3" s="271"/>
      <c r="S3" s="272">
        <f>AZ7</f>
        <v>1</v>
      </c>
      <c r="T3" s="272"/>
      <c r="U3" s="282" t="s">
        <v>78</v>
      </c>
      <c r="V3" s="282"/>
      <c r="W3" s="277">
        <v>1</v>
      </c>
      <c r="X3" s="277"/>
      <c r="AA3" s="213" t="s">
        <v>73</v>
      </c>
      <c r="AB3" s="213"/>
      <c r="AC3" s="102">
        <v>3</v>
      </c>
      <c r="AD3" s="4" t="s">
        <v>74</v>
      </c>
      <c r="AE3" s="104">
        <v>4</v>
      </c>
      <c r="AF3" s="251" t="s">
        <v>324</v>
      </c>
      <c r="AG3" s="252"/>
      <c r="AH3" s="199"/>
      <c r="AI3" s="253">
        <f>AN7</f>
        <v>0.14395894207200274</v>
      </c>
      <c r="AJ3" s="193"/>
      <c r="AK3" s="25"/>
      <c r="AL3" s="25"/>
      <c r="AM3" s="24"/>
      <c r="AR3" s="24"/>
    </row>
    <row r="4" spans="1:53" ht="33" customHeight="1" x14ac:dyDescent="0.3">
      <c r="A4" s="259" t="str">
        <f>'멍텅(실측)'!A4:Y4</f>
        <v>제작치수 반영 : JB/JD +(3 ),  늘어난치수K -(3),  C + (0),  U +(0), OP - (2), R - (0),  기둥차감 - (0),  A + (1)</v>
      </c>
      <c r="B4" s="259"/>
      <c r="C4" s="259"/>
      <c r="D4" s="259"/>
      <c r="E4" s="259"/>
      <c r="F4" s="259"/>
      <c r="G4" s="259"/>
      <c r="H4" s="259"/>
      <c r="I4" s="259"/>
      <c r="J4" s="259"/>
      <c r="K4" s="259"/>
      <c r="L4" s="259"/>
      <c r="M4" s="259"/>
      <c r="N4" s="259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6" t="s">
        <v>310</v>
      </c>
      <c r="Z4" s="256"/>
      <c r="AA4" s="257">
        <f>'멍텅(실측)'!U7</f>
        <v>14</v>
      </c>
      <c r="AB4" s="257"/>
      <c r="AC4" s="9"/>
      <c r="AD4" s="185">
        <f ca="1">TODAY()</f>
        <v>45303</v>
      </c>
      <c r="AE4" s="171"/>
      <c r="AF4" s="249" t="s">
        <v>235</v>
      </c>
      <c r="AG4" s="249"/>
      <c r="AH4" s="250"/>
      <c r="AI4" s="162" t="s">
        <v>215</v>
      </c>
      <c r="AJ4" s="162"/>
      <c r="AK4" s="25"/>
      <c r="AL4" s="25"/>
      <c r="AM4" s="24"/>
      <c r="AR4" s="24"/>
      <c r="AZ4" s="178" t="s">
        <v>253</v>
      </c>
    </row>
    <row r="5" spans="1:53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237" t="s">
        <v>62</v>
      </c>
      <c r="L5" s="237" t="s">
        <v>63</v>
      </c>
      <c r="M5" s="165" t="s">
        <v>8</v>
      </c>
      <c r="N5" s="165" t="s">
        <v>9</v>
      </c>
      <c r="O5" s="165" t="s">
        <v>10</v>
      </c>
      <c r="P5" s="165" t="s">
        <v>11</v>
      </c>
      <c r="Q5" s="165" t="s">
        <v>14</v>
      </c>
      <c r="R5" s="165" t="s">
        <v>15</v>
      </c>
      <c r="S5" s="165" t="s">
        <v>16</v>
      </c>
      <c r="T5" s="165" t="s">
        <v>17</v>
      </c>
      <c r="U5" s="165" t="s">
        <v>19</v>
      </c>
      <c r="V5" s="260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6" t="s">
        <v>25</v>
      </c>
      <c r="AD5" s="262" t="s">
        <v>34</v>
      </c>
      <c r="AE5" s="166" t="s">
        <v>35</v>
      </c>
      <c r="AF5" s="180" t="s">
        <v>203</v>
      </c>
      <c r="AG5" s="180"/>
      <c r="AH5" s="180"/>
      <c r="AI5" s="169" t="s">
        <v>212</v>
      </c>
      <c r="AJ5" s="170"/>
      <c r="AK5" s="178" t="s">
        <v>304</v>
      </c>
      <c r="AL5" s="178" t="s">
        <v>305</v>
      </c>
      <c r="AM5" s="261" t="s">
        <v>51</v>
      </c>
      <c r="AT5" s="179" t="s">
        <v>28</v>
      </c>
      <c r="AU5" s="179"/>
      <c r="AV5" s="179" t="s">
        <v>29</v>
      </c>
      <c r="AW5" s="179"/>
      <c r="AZ5" s="179"/>
    </row>
    <row r="6" spans="1:53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238"/>
      <c r="L6" s="238"/>
      <c r="M6" s="165"/>
      <c r="N6" s="165"/>
      <c r="O6" s="165"/>
      <c r="P6" s="165"/>
      <c r="Q6" s="165"/>
      <c r="R6" s="165"/>
      <c r="S6" s="165"/>
      <c r="T6" s="165"/>
      <c r="U6" s="165"/>
      <c r="V6" s="260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5"/>
      <c r="AD6" s="263"/>
      <c r="AE6" s="165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9"/>
      <c r="AL6" s="179"/>
      <c r="AM6" s="261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4F</v>
      </c>
      <c r="C7" s="4">
        <f>'멍텅(실측)'!C7-멍텅OP</f>
        <v>897</v>
      </c>
      <c r="D7" s="4">
        <f>'멍텅(실측)'!D7-멍텅R</f>
        <v>899</v>
      </c>
      <c r="E7" s="50">
        <f>'멍텅(실측)'!E7+MAX(AK7,AL7)+IF(AZ7=1,Y7,0)+멍텅JBJD늘림치수</f>
        <v>398</v>
      </c>
      <c r="F7" s="50">
        <f>'멍텅(실측)'!F7+MAX(AK7,AL7)+IF(AZ7=1,AA7,0)+멍텅JBJD늘림치수</f>
        <v>398</v>
      </c>
      <c r="G7" s="50">
        <f>'멍텅(실측)'!G7+AK7+IF(AZ7=1,Y7,0)+멍텅JB강제키움+멍텅JBJD늘림치수</f>
        <v>398</v>
      </c>
      <c r="H7" s="50">
        <f>'멍텅(실측)'!G7+AK7+IF(AZ7=1,Z7,0)+멍텅JB강제키움+멍텅JBJD늘림치수-IF(멍텅JB하부늘치=1,'멍텅(실측)'!U7-'멍텅(실측)'!V7,0)</f>
        <v>398</v>
      </c>
      <c r="I7" s="50">
        <f>'멍텅(실측)'!H7+AL7+IF(AZ7=1,AA7,0)+멍텅JB강제키움+멍텅JBJD늘림치수</f>
        <v>398</v>
      </c>
      <c r="J7" s="50">
        <f>'멍텅(실측)'!H7+AL7+IF(AZ7=1,AB7,0)+멍텅JB강제키움+멍텅JBJD늘림치수-IF(멍텅JB하부늘치=1,'멍텅(실측)'!W7-'멍텅(실측)'!X7,0)</f>
        <v>398</v>
      </c>
      <c r="K7" s="4">
        <f t="shared" ref="K7:L7" si="0">M7+IF(소장="손상민",0,-1.5)</f>
        <v>7.5</v>
      </c>
      <c r="L7" s="4">
        <f t="shared" si="0"/>
        <v>23.5</v>
      </c>
      <c r="M7" s="4">
        <f>IF(O7&gt;0,'멍텅(실측)'!I7+멍텅C늘림,'멍텅(실측)'!I7+1)</f>
        <v>9</v>
      </c>
      <c r="N7" s="4">
        <f>IF(P7&gt;0,'멍텅(실측)'!J7+멍텅C늘림,'멍텅(실측)'!J7+1)</f>
        <v>25</v>
      </c>
      <c r="O7" s="4">
        <f>IF(ISNUMBER('멍텅(실측)'!K7),'멍텅(실측)'!K7+멍텅제작!AK7+멍텅A늘림,0)</f>
        <v>9</v>
      </c>
      <c r="P7" s="4">
        <f>IF(ISNUMBER('멍텅(실측)'!L7),'멍텅(실측)'!L7+멍텅제작!AL7+멍텅A늘림,0)</f>
        <v>9</v>
      </c>
      <c r="Q7" s="4">
        <f>'멍텅(실측)'!M7-멍텅기둥차감</f>
        <v>2090</v>
      </c>
      <c r="R7" s="4">
        <f>'멍텅(실측)'!N7-멍텅기둥차감</f>
        <v>2090</v>
      </c>
      <c r="S7" s="4">
        <f>'멍텅(실측)'!O7-멍텅기둥차감</f>
        <v>2092</v>
      </c>
      <c r="T7" s="4">
        <f>'멍텅(실측)'!P7-멍텅기둥차감</f>
        <v>2092</v>
      </c>
      <c r="U7" s="4">
        <f>IF(ISNUMBER('멍텅(실측)'!Q7),IF(V7&gt;0,'멍텅(실측)'!Q7+멍텅U늘림,'멍텅(실측)'!Q7+1.2),0)</f>
        <v>10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9</v>
      </c>
      <c r="W7" s="4">
        <f>'멍텅(실측)'!S7+뒷날개치수더함</f>
        <v>30</v>
      </c>
      <c r="X7" s="4">
        <f>'멍텅(실측)'!T7+뒷날개치수더함</f>
        <v>30</v>
      </c>
      <c r="Y7" s="13">
        <f>'멍텅(실측)'!U7-멍텅늘치차감</f>
        <v>11</v>
      </c>
      <c r="Z7" s="13">
        <f>IF(멍텅JB하부늘치=1,Y7,'멍텅(실측)'!V7-멍텅늘치차감)</f>
        <v>11</v>
      </c>
      <c r="AA7" s="13">
        <f>'멍텅(실측)'!W7-멍텅늘치차감</f>
        <v>11</v>
      </c>
      <c r="AB7" s="13">
        <f>IF(멍텅JB하부늘치=1,AA7,'멍텅(실측)'!X7-멍텅늘치차감)</f>
        <v>11</v>
      </c>
      <c r="AC7" s="11" t="str">
        <f t="shared" ref="AC7" si="1">AR7&amp;"*"&amp;AS7</f>
        <v>930*443.4</v>
      </c>
      <c r="AD7" s="12" t="str">
        <f t="shared" ref="AD7" si="2">AU7&amp;"*"&amp;AT7</f>
        <v>2090*441.2</v>
      </c>
      <c r="AE7" s="10" t="str">
        <f t="shared" ref="AE7" si="3">AW7&amp;"*"&amp;AV7</f>
        <v>2092*457.2</v>
      </c>
      <c r="AF7" s="4">
        <f>IF('멍텅(실측)'!Y7&gt;5,'멍텅(실측)'!Y7+뒷날개치수더함,'멍텅(실측)'!Y7)</f>
        <v>20</v>
      </c>
      <c r="AG7" s="4">
        <f>'멍텅(실측)'!Z7</f>
        <v>10</v>
      </c>
      <c r="AH7" s="4">
        <f>'멍텅(실측)'!AA7</f>
        <v>10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8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8</v>
      </c>
      <c r="AM7" s="16"/>
      <c r="AN7" s="17">
        <f t="shared" ref="AN7" si="4">DEGREES(ATAN((D7-C7)/2/(E7)))</f>
        <v>0.14395894207200274</v>
      </c>
      <c r="AO7" s="36">
        <f>IF(소장="박철우",E7-COS(RADIANS(AN7))*G7+2,E7-COS(RADIANS(AN7))*G7)</f>
        <v>1.2562754589566794E-3</v>
      </c>
      <c r="AP7" s="36">
        <f>IF(소장="박철우",F7-COS(RADIANS(AN7))*I7+2,F7-COS(RADIANS(AN7))*I7)</f>
        <v>1.2562754589566794E-3</v>
      </c>
      <c r="AQ7" s="46" t="str">
        <f t="shared" ref="AQ7" si="5">IF(E7+Y7&lt;&gt;F7+AA7,"JD비대칭","")</f>
        <v/>
      </c>
      <c r="AR7" s="3">
        <f>D7 + IF(U7+V7&gt;0, K7+L7,0)</f>
        <v>930</v>
      </c>
      <c r="AS7" s="3">
        <f>U7+MAX(E7,F7)+W7+V7-1.2*$AC$3+IF(AZ7=0,MAX(Y7,AA7))+IF(V7=0,1.2,0)</f>
        <v>443.4</v>
      </c>
      <c r="AT7" s="3">
        <f>O7+M7+MAX(G7,H7)+X7-1.2*$AE$3+IF(AZ7=0,MAX(Y7,Z7))+IF(O7=0,1.2,0)-IF(AH7=90,2.4,0)</f>
        <v>441.2</v>
      </c>
      <c r="AU7" s="3">
        <f t="shared" ref="AU7" si="6">MAX(Q7,R7)</f>
        <v>2090</v>
      </c>
      <c r="AV7" s="3">
        <f>P7+N7+MAX(I7,J7)+X7-1.2*$AE$3+IF(AZ7=0,MAX(AA7,AB7))+IF(P7=0,1.2,0)-IF(AH7=90,2.4,0)</f>
        <v>457.2</v>
      </c>
      <c r="AW7" s="3">
        <f t="shared" ref="AW7" si="7">MAX(S7,T7)</f>
        <v>2092</v>
      </c>
      <c r="AX7">
        <f t="shared" ref="AX7" si="8">G7-E7</f>
        <v>0</v>
      </c>
      <c r="AY7">
        <f t="shared" ref="AY7" si="9">9-V7</f>
        <v>0</v>
      </c>
      <c r="AZ7" s="79">
        <f>IF(AND(MIN(Y7,AA7)&gt;=9.2,D7-C7&gt;15),0,1)</f>
        <v>1</v>
      </c>
      <c r="BA7" s="83">
        <f>IF(소장="손상민",'멍텅(실측)'!AD7,0)</f>
        <v>0</v>
      </c>
    </row>
    <row r="8" spans="1:53" ht="26.25" customHeight="1" x14ac:dyDescent="0.3">
      <c r="A8" s="4">
        <f>'멍텅(실측)'!A8</f>
        <v>0</v>
      </c>
      <c r="B8" s="4" t="str">
        <f>'멍텅(실측)'!B8&amp;"F"</f>
        <v>3F</v>
      </c>
      <c r="C8" s="4">
        <f>'멍텅(실측)'!C8-멍텅OP</f>
        <v>897</v>
      </c>
      <c r="D8" s="4">
        <f>'멍텅(실측)'!D8-멍텅R</f>
        <v>1029</v>
      </c>
      <c r="E8" s="50">
        <f>'멍텅(실측)'!E8+MAX(AK8,AL8)+IF(AZ8=1,Y8,0)+멍텅JBJD늘림치수</f>
        <v>388</v>
      </c>
      <c r="F8" s="50">
        <f>'멍텅(실측)'!F8+MAX(AK8,AL8)+IF(AZ8=1,AA8,0)+멍텅JBJD늘림치수</f>
        <v>388</v>
      </c>
      <c r="G8" s="50">
        <f>'멍텅(실측)'!G8+AK8+IF(AZ8=1,Y8,0)+멍텅JB강제키움+멍텅JBJD늘림치수</f>
        <v>391</v>
      </c>
      <c r="H8" s="50">
        <f>'멍텅(실측)'!G8+AK8+IF(AZ8=1,Z8,0)+멍텅JB강제키움+멍텅JBJD늘림치수-IF(멍텅JB하부늘치=1,'멍텅(실측)'!U8-'멍텅(실측)'!V8,0)</f>
        <v>391</v>
      </c>
      <c r="I8" s="50">
        <f>'멍텅(실측)'!H8+AL8+IF(AZ8=1,AA8,0)+멍텅JB강제키움+멍텅JBJD늘림치수</f>
        <v>391</v>
      </c>
      <c r="J8" s="50">
        <f>'멍텅(실측)'!H8+AL8+IF(AZ8=1,AB8,0)+멍텅JB강제키움+멍텅JBJD늘림치수-IF(멍텅JB하부늘치=1,'멍텅(실측)'!W8-'멍텅(실측)'!X8,0)</f>
        <v>391</v>
      </c>
      <c r="K8" s="4">
        <f t="shared" ref="K8:K13" si="10">M8+IF(소장="손상민",0,-1.5)</f>
        <v>30.5</v>
      </c>
      <c r="L8" s="4">
        <f t="shared" ref="L8:L13" si="11">N8+IF(소장="손상민",0,-1.5)</f>
        <v>30.5</v>
      </c>
      <c r="M8" s="4">
        <f>IF(O8&gt;0,'멍텅(실측)'!I8+멍텅C늘림,'멍텅(실측)'!I8+1)</f>
        <v>32</v>
      </c>
      <c r="N8" s="4">
        <f>IF(P8&gt;0,'멍텅(실측)'!J8+멍텅C늘림,'멍텅(실측)'!J8+1)</f>
        <v>32</v>
      </c>
      <c r="O8" s="4">
        <f>IF(ISNUMBER('멍텅(실측)'!K8),'멍텅(실측)'!K8+멍텅제작!AK8+멍텅A늘림,0)</f>
        <v>10</v>
      </c>
      <c r="P8" s="4">
        <f>IF(ISNUMBER('멍텅(실측)'!L8),'멍텅(실측)'!L8+멍텅제작!AL8+멍텅A늘림,0)</f>
        <v>9</v>
      </c>
      <c r="Q8" s="4">
        <f>'멍텅(실측)'!M8-멍텅기둥차감</f>
        <v>2094</v>
      </c>
      <c r="R8" s="4">
        <f>'멍텅(실측)'!N8-멍텅기둥차감</f>
        <v>2092</v>
      </c>
      <c r="S8" s="4">
        <f>'멍텅(실측)'!O8-멍텅기둥차감</f>
        <v>2094</v>
      </c>
      <c r="T8" s="4">
        <f>'멍텅(실측)'!P8-멍텅기둥차감</f>
        <v>2092</v>
      </c>
      <c r="U8" s="4">
        <f>IF(ISNUMBER('멍텅(실측)'!Q8),IF(V8&gt;0,'멍텅(실측)'!Q8+멍텅U늘림,'멍텅(실측)'!Q8+1.2),0)</f>
        <v>32</v>
      </c>
      <c r="V8" s="4">
        <f>IF(OR(멍텅G="", 멍텅G=0),IF(ISNUMBER('멍텅(실측)'!R8),IF('멍텅(실측)'!R8+멍텅A늘림+MAX(AK8,AL8)&gt;9,'멍텅(실측)'!R8+멍텅A늘림+MAX(AK8,AL8),'멍텅(실측)'!R8+멍텅A늘림+MAX(AK8,AL8)),0),멍텅G)</f>
        <v>9</v>
      </c>
      <c r="W8" s="4">
        <f>'멍텅(실측)'!S8+뒷날개치수더함</f>
        <v>30</v>
      </c>
      <c r="X8" s="4">
        <f>'멍텅(실측)'!T8+뒷날개치수더함</f>
        <v>30</v>
      </c>
      <c r="Y8" s="13">
        <f>'멍텅(실측)'!U8-멍텅늘치차감</f>
        <v>11</v>
      </c>
      <c r="Z8" s="13">
        <f>IF(멍텅JB하부늘치=1,Y8,'멍텅(실측)'!V8-멍텅늘치차감)</f>
        <v>11</v>
      </c>
      <c r="AA8" s="13">
        <f>'멍텅(실측)'!W8-멍텅늘치차감</f>
        <v>11</v>
      </c>
      <c r="AB8" s="13">
        <f>IF(멍텅JB하부늘치=1,AA8,'멍텅(실측)'!X8-멍텅늘치차감)</f>
        <v>11</v>
      </c>
      <c r="AC8" s="11" t="str">
        <f t="shared" ref="AC8:AC13" si="12">AR8&amp;"*"&amp;AS8</f>
        <v>1090*466.4</v>
      </c>
      <c r="AD8" s="12" t="str">
        <f t="shared" ref="AD8:AD13" si="13">AU8&amp;"*"&amp;AT8</f>
        <v>2094*469.2</v>
      </c>
      <c r="AE8" s="10" t="str">
        <f t="shared" ref="AE8:AE13" si="14">AW8&amp;"*"&amp;AV8</f>
        <v>2094*468.2</v>
      </c>
      <c r="AF8" s="4">
        <f>IF('멍텅(실측)'!Y8&gt;5,'멍텅(실측)'!Y8+뒷날개치수더함,'멍텅(실측)'!Y8)</f>
        <v>20</v>
      </c>
      <c r="AG8" s="4">
        <f>'멍텅(실측)'!Z8</f>
        <v>10</v>
      </c>
      <c r="AH8" s="4">
        <f>'멍텅(실측)'!AA8</f>
        <v>10</v>
      </c>
      <c r="AI8" s="31">
        <f>IF('멍텅(실측)'!AB8&gt;0,'멍텅(실측)'!AB8-'멍텅(실측)'!S8+1.2,0)</f>
        <v>0</v>
      </c>
      <c r="AJ8" s="31">
        <f>IF('멍텅(실측)'!AC8&gt;0,'멍텅(실측)'!AC8-'멍텅(실측)'!S8+1.2,0)</f>
        <v>0</v>
      </c>
      <c r="AK8" s="3">
        <f>IF(AND(ISNUMBER('멍텅(실측)'!L8),ISNUMBER('멍텅(실측)'!K8)),IF(ISNUMBER('멍텅(실측)'!K8),IF(9-MIN('멍텅(실측)'!K8+멍텅A늘림,'멍텅(실측)'!L8+멍텅A늘림)&lt;AM8,AM8,9-MIN('멍텅(실측)'!K8+멍텅A늘림,'멍텅(실측)'!L8+멍텅A늘림) + AM8 ),0),IF(ISNUMBER('멍텅(실측)'!K8),IF(9-'멍텅(실측)'!K8-멍텅A늘림+AM8&lt;AM8,AM8,9-'멍텅(실측)'!K8-멍텅A늘림+AM8),0))</f>
        <v>8</v>
      </c>
      <c r="AL8" s="3">
        <f>IF(AND(ISNUMBER('멍텅(실측)'!K8),ISNUMBER('멍텅(실측)'!L8)),IF(ISNUMBER('멍텅(실측)'!L8),IF(9-MIN('멍텅(실측)'!L8+멍텅A늘림,'멍텅(실측)'!K8+멍텅A늘림)+AM8&lt;AM8,AM8,9-MIN('멍텅(실측)'!L8+멍텅A늘림,'멍텅(실측)'!K8+멍텅A늘림)+AM8),0),IF(ISNUMBER('멍텅(실측)'!L8),IF(9-'멍텅(실측)'!L8-멍텅A늘림+AM8&lt;AM8,AM8,9-'멍텅(실측)'!L8-멍텅A늘림+AM8),0))</f>
        <v>8</v>
      </c>
      <c r="AM8" s="16"/>
      <c r="AN8" s="17">
        <f t="shared" ref="AN8:AN13" si="15">DEGREES(ATAN((D8-C8)/2/(E8)))</f>
        <v>9.6537860885365472</v>
      </c>
      <c r="AO8" s="36">
        <f>IF(소장="박철우",E8-COS(RADIANS(AN8))*G8+2,E8-COS(RADIANS(AN8))*G8)</f>
        <v>2.5369316740529371</v>
      </c>
      <c r="AP8" s="36">
        <f>IF(소장="박철우",F8-COS(RADIANS(AN8))*I8+2,F8-COS(RADIANS(AN8))*I8)</f>
        <v>2.5369316740529371</v>
      </c>
      <c r="AQ8" s="46" t="str">
        <f t="shared" ref="AQ8:AQ13" si="16">IF(E8+Y8&lt;&gt;F8+AA8,"JD비대칭","")</f>
        <v/>
      </c>
      <c r="AR8" s="3">
        <f t="shared" ref="AR8:AR13" si="17">D8 + IF(U8+V8&gt;0, K8+L8,0)</f>
        <v>1090</v>
      </c>
      <c r="AS8" s="3">
        <f t="shared" ref="AS8:AS13" si="18">U8+MAX(E8,F8)+W8+V8-1.2*$AC$3+IF(AZ8=0,MAX(Y8,AA8))+IF(V8=0,1.2,0)</f>
        <v>466.4</v>
      </c>
      <c r="AT8" s="3">
        <f t="shared" ref="AT8:AT13" si="19">O8+M8+MAX(G8,H8)+X8-1.2*$AE$3+IF(AZ8=0,MAX(Y8,Z8))+IF(O8=0,1.2,0)-IF(AH8=90,2.4,0)</f>
        <v>469.2</v>
      </c>
      <c r="AU8" s="3">
        <f t="shared" ref="AU8:AU13" si="20">MAX(Q8,R8)</f>
        <v>2094</v>
      </c>
      <c r="AV8" s="3">
        <f t="shared" ref="AV8:AV13" si="21">P8+N8+MAX(I8,J8)+X8-1.2*$AE$3+IF(AZ8=0,MAX(AA8,AB8))+IF(P8=0,1.2,0)-IF(AH8=90,2.4,0)</f>
        <v>468.2</v>
      </c>
      <c r="AW8" s="3">
        <f t="shared" ref="AW8:AW13" si="22">MAX(S8,T8)</f>
        <v>2094</v>
      </c>
      <c r="AX8">
        <f t="shared" ref="AX8:AX13" si="23">G8-E8</f>
        <v>3</v>
      </c>
      <c r="AY8">
        <f t="shared" ref="AY8:AY13" si="24">9-V8</f>
        <v>0</v>
      </c>
      <c r="AZ8" s="79">
        <f t="shared" ref="AZ8:AZ13" si="25">IF(AND(MIN(Y8,AA8)&gt;=9.2,D8-C8&gt;15),0,1)</f>
        <v>0</v>
      </c>
      <c r="BA8" s="83">
        <f>IF(소장="손상민",'멍텅(실측)'!AD8,0)</f>
        <v>0</v>
      </c>
    </row>
    <row r="9" spans="1:53" ht="26.25" customHeight="1" x14ac:dyDescent="0.3">
      <c r="A9" s="4">
        <f>'멍텅(실측)'!A9</f>
        <v>0</v>
      </c>
      <c r="B9" s="4" t="str">
        <f>'멍텅(실측)'!B9&amp;"F"</f>
        <v>2F</v>
      </c>
      <c r="C9" s="4">
        <f>'멍텅(실측)'!C9-멍텅OP</f>
        <v>897</v>
      </c>
      <c r="D9" s="4">
        <f>'멍텅(실측)'!D9-멍텅R</f>
        <v>1031</v>
      </c>
      <c r="E9" s="50">
        <f>'멍텅(실측)'!E9+MAX(AK9,AL9)+IF(AZ9=1,Y9,0)+멍텅JBJD늘림치수</f>
        <v>389</v>
      </c>
      <c r="F9" s="50">
        <f>'멍텅(실측)'!F9+MAX(AK9,AL9)+IF(AZ9=1,AA9,0)+멍텅JBJD늘림치수</f>
        <v>389</v>
      </c>
      <c r="G9" s="50">
        <f>'멍텅(실측)'!G9+AK9+IF(AZ9=1,Y9,0)+멍텅JB강제키움+멍텅JBJD늘림치수</f>
        <v>392</v>
      </c>
      <c r="H9" s="50">
        <f>'멍텅(실측)'!G9+AK9+IF(AZ9=1,Z9,0)+멍텅JB강제키움+멍텅JBJD늘림치수-IF(멍텅JB하부늘치=1,'멍텅(실측)'!U9-'멍텅(실측)'!V9,0)</f>
        <v>392</v>
      </c>
      <c r="I9" s="50">
        <f>'멍텅(실측)'!H9+AL9+IF(AZ9=1,AA9,0)+멍텅JB강제키움+멍텅JBJD늘림치수</f>
        <v>392</v>
      </c>
      <c r="J9" s="50">
        <f>'멍텅(실측)'!H9+AL9+IF(AZ9=1,AB9,0)+멍텅JB강제키움+멍텅JBJD늘림치수-IF(멍텅JB하부늘치=1,'멍텅(실측)'!W9-'멍텅(실측)'!X9,0)</f>
        <v>392</v>
      </c>
      <c r="K9" s="4">
        <f t="shared" si="10"/>
        <v>30.5</v>
      </c>
      <c r="L9" s="4">
        <f t="shared" si="11"/>
        <v>30.5</v>
      </c>
      <c r="M9" s="4">
        <f>IF(O9&gt;0,'멍텅(실측)'!I9+멍텅C늘림,'멍텅(실측)'!I9+1)</f>
        <v>32</v>
      </c>
      <c r="N9" s="4">
        <f>IF(P9&gt;0,'멍텅(실측)'!J9+멍텅C늘림,'멍텅(실측)'!J9+1)</f>
        <v>32</v>
      </c>
      <c r="O9" s="4">
        <f>IF(ISNUMBER('멍텅(실측)'!K9),'멍텅(실측)'!K9+멍텅제작!AK9+멍텅A늘림,0)</f>
        <v>11</v>
      </c>
      <c r="P9" s="4">
        <f>IF(ISNUMBER('멍텅(실측)'!L9),'멍텅(실측)'!L9+멍텅제작!AL9+멍텅A늘림,0)</f>
        <v>9</v>
      </c>
      <c r="Q9" s="4">
        <f>'멍텅(실측)'!M9-멍텅기둥차감</f>
        <v>2094</v>
      </c>
      <c r="R9" s="4">
        <f>'멍텅(실측)'!N9-멍텅기둥차감</f>
        <v>2090</v>
      </c>
      <c r="S9" s="4">
        <f>'멍텅(실측)'!O9-멍텅기둥차감</f>
        <v>2099</v>
      </c>
      <c r="T9" s="4">
        <f>'멍텅(실측)'!P9-멍텅기둥차감</f>
        <v>2094</v>
      </c>
      <c r="U9" s="4">
        <f>IF(ISNUMBER('멍텅(실측)'!Q9),IF(V9&gt;0,'멍텅(실측)'!Q9+멍텅U늘림,'멍텅(실측)'!Q9+1.2),0)</f>
        <v>32</v>
      </c>
      <c r="V9" s="4">
        <f>IF(OR(멍텅G="", 멍텅G=0),IF(ISNUMBER('멍텅(실측)'!R9),IF('멍텅(실측)'!R9+멍텅A늘림+MAX(AK9,AL9)&gt;9,'멍텅(실측)'!R9+멍텅A늘림+MAX(AK9,AL9),'멍텅(실측)'!R9+멍텅A늘림+MAX(AK9,AL9)),0),멍텅G)</f>
        <v>12</v>
      </c>
      <c r="W9" s="4">
        <f>'멍텅(실측)'!S9+뒷날개치수더함</f>
        <v>30</v>
      </c>
      <c r="X9" s="4">
        <f>'멍텅(실측)'!T9+뒷날개치수더함</f>
        <v>30</v>
      </c>
      <c r="Y9" s="13">
        <f>'멍텅(실측)'!U9-멍텅늘치차감</f>
        <v>11</v>
      </c>
      <c r="Z9" s="13">
        <f>IF(멍텅JB하부늘치=1,Y9,'멍텅(실측)'!V9-멍텅늘치차감)</f>
        <v>11</v>
      </c>
      <c r="AA9" s="13">
        <f>'멍텅(실측)'!W9-멍텅늘치차감</f>
        <v>11</v>
      </c>
      <c r="AB9" s="13">
        <f>IF(멍텅JB하부늘치=1,AA9,'멍텅(실측)'!X9-멍텅늘치차감)</f>
        <v>11</v>
      </c>
      <c r="AC9" s="11" t="str">
        <f t="shared" si="12"/>
        <v>1092*470.4</v>
      </c>
      <c r="AD9" s="12" t="str">
        <f t="shared" si="13"/>
        <v>2094*471.2</v>
      </c>
      <c r="AE9" s="10" t="str">
        <f t="shared" si="14"/>
        <v>2099*469.2</v>
      </c>
      <c r="AF9" s="4">
        <f>IF('멍텅(실측)'!Y9&gt;5,'멍텅(실측)'!Y9+뒷날개치수더함,'멍텅(실측)'!Y9)</f>
        <v>20</v>
      </c>
      <c r="AG9" s="4">
        <f>'멍텅(실측)'!Z9</f>
        <v>10</v>
      </c>
      <c r="AH9" s="4">
        <f>'멍텅(실측)'!AA9</f>
        <v>10</v>
      </c>
      <c r="AI9" s="31">
        <f>IF('멍텅(실측)'!AB9&gt;0,'멍텅(실측)'!AB9-'멍텅(실측)'!S9+1.2,0)</f>
        <v>0</v>
      </c>
      <c r="AJ9" s="31">
        <f>IF('멍텅(실측)'!AC9&gt;0,'멍텅(실측)'!AC9-'멍텅(실측)'!S9+1.2,0)</f>
        <v>0</v>
      </c>
      <c r="AK9" s="3">
        <f>IF(AND(ISNUMBER('멍텅(실측)'!L9),ISNUMBER('멍텅(실측)'!K9)),IF(ISNUMBER('멍텅(실측)'!K9),IF(9-MIN('멍텅(실측)'!K9+멍텅A늘림,'멍텅(실측)'!L9+멍텅A늘림)&lt;AM9,AM9,9-MIN('멍텅(실측)'!K9+멍텅A늘림,'멍텅(실측)'!L9+멍텅A늘림) + AM9 ),0),IF(ISNUMBER('멍텅(실측)'!K9),IF(9-'멍텅(실측)'!K9-멍텅A늘림+AM9&lt;AM9,AM9,9-'멍텅(실측)'!K9-멍텅A늘림+AM9),0))</f>
        <v>8</v>
      </c>
      <c r="AL9" s="3">
        <f>IF(AND(ISNUMBER('멍텅(실측)'!K9),ISNUMBER('멍텅(실측)'!L9)),IF(ISNUMBER('멍텅(실측)'!L9),IF(9-MIN('멍텅(실측)'!L9+멍텅A늘림,'멍텅(실측)'!K9+멍텅A늘림)+AM9&lt;AM9,AM9,9-MIN('멍텅(실측)'!L9+멍텅A늘림,'멍텅(실측)'!K9+멍텅A늘림)+AM9),0),IF(ISNUMBER('멍텅(실측)'!L9),IF(9-'멍텅(실측)'!L9-멍텅A늘림+AM9&lt;AM9,AM9,9-'멍텅(실측)'!L9-멍텅A늘림+AM9),0))</f>
        <v>8</v>
      </c>
      <c r="AM9" s="16"/>
      <c r="AN9" s="17">
        <f t="shared" si="15"/>
        <v>9.7725420560932861</v>
      </c>
      <c r="AO9" s="36">
        <f>IF(소장="박철우",E9-COS(RADIANS(AN9))*G9+2,E9-COS(RADIANS(AN9))*G9)</f>
        <v>2.6881728075545652</v>
      </c>
      <c r="AP9" s="36">
        <f>IF(소장="박철우",F9-COS(RADIANS(AN9))*I9+2,F9-COS(RADIANS(AN9))*I9)</f>
        <v>2.6881728075545652</v>
      </c>
      <c r="AQ9" s="46" t="str">
        <f t="shared" si="16"/>
        <v/>
      </c>
      <c r="AR9" s="3">
        <f t="shared" si="17"/>
        <v>1092</v>
      </c>
      <c r="AS9" s="3">
        <f t="shared" si="18"/>
        <v>470.4</v>
      </c>
      <c r="AT9" s="3">
        <f t="shared" si="19"/>
        <v>471.2</v>
      </c>
      <c r="AU9" s="3">
        <f t="shared" si="20"/>
        <v>2094</v>
      </c>
      <c r="AV9" s="3">
        <f t="shared" si="21"/>
        <v>469.2</v>
      </c>
      <c r="AW9" s="3">
        <f t="shared" si="22"/>
        <v>2099</v>
      </c>
      <c r="AX9">
        <f t="shared" si="23"/>
        <v>3</v>
      </c>
      <c r="AY9">
        <f t="shared" si="24"/>
        <v>-3</v>
      </c>
      <c r="AZ9" s="79">
        <f t="shared" si="25"/>
        <v>0</v>
      </c>
      <c r="BA9" s="83">
        <f>IF(소장="손상민",'멍텅(실측)'!AD9,0)</f>
        <v>0</v>
      </c>
    </row>
    <row r="10" spans="1:53" ht="26.25" customHeight="1" x14ac:dyDescent="0.3">
      <c r="A10" s="4">
        <f>'멍텅(실측)'!A10</f>
        <v>0</v>
      </c>
      <c r="B10" s="4" t="str">
        <f>'멍텅(실측)'!B10&amp;"F"</f>
        <v>B1F</v>
      </c>
      <c r="C10" s="4">
        <f>'멍텅(실측)'!C10-멍텅OP</f>
        <v>896</v>
      </c>
      <c r="D10" s="4">
        <f>'멍텅(실측)'!D10-멍텅R</f>
        <v>1031</v>
      </c>
      <c r="E10" s="50">
        <f>'멍텅(실측)'!E10+MAX(AK10,AL10)+IF(AZ10=1,Y10,0)+멍텅JBJD늘림치수</f>
        <v>387</v>
      </c>
      <c r="F10" s="50">
        <f>'멍텅(실측)'!F10+MAX(AK10,AL10)+IF(AZ10=1,AA10,0)+멍텅JBJD늘림치수</f>
        <v>387</v>
      </c>
      <c r="G10" s="50">
        <f>'멍텅(실측)'!G10+AK10+IF(AZ10=1,Y10,0)+멍텅JB강제키움+멍텅JBJD늘림치수</f>
        <v>390</v>
      </c>
      <c r="H10" s="50">
        <f>'멍텅(실측)'!G10+AK10+IF(AZ10=1,Z10,0)+멍텅JB강제키움+멍텅JBJD늘림치수-IF(멍텅JB하부늘치=1,'멍텅(실측)'!U10-'멍텅(실측)'!V10,0)</f>
        <v>390</v>
      </c>
      <c r="I10" s="50">
        <f>'멍텅(실측)'!H10+AL10+IF(AZ10=1,AA10,0)+멍텅JB강제키움+멍텅JBJD늘림치수</f>
        <v>390</v>
      </c>
      <c r="J10" s="50">
        <f>'멍텅(실측)'!H10+AL10+IF(AZ10=1,AB10,0)+멍텅JB강제키움+멍텅JBJD늘림치수-IF(멍텅JB하부늘치=1,'멍텅(실측)'!W10-'멍텅(실측)'!X10,0)</f>
        <v>390</v>
      </c>
      <c r="K10" s="4">
        <f t="shared" si="10"/>
        <v>28.5</v>
      </c>
      <c r="L10" s="4">
        <f t="shared" si="11"/>
        <v>30.5</v>
      </c>
      <c r="M10" s="4">
        <f>IF(O10&gt;0,'멍텅(실측)'!I10+멍텅C늘림,'멍텅(실측)'!I10+1)</f>
        <v>30</v>
      </c>
      <c r="N10" s="4">
        <f>IF(P10&gt;0,'멍텅(실측)'!J10+멍텅C늘림,'멍텅(실측)'!J10+1)</f>
        <v>32</v>
      </c>
      <c r="O10" s="4">
        <f>IF(ISNUMBER('멍텅(실측)'!K10),'멍텅(실측)'!K10+멍텅제작!AK10+멍텅A늘림,0)</f>
        <v>9</v>
      </c>
      <c r="P10" s="4">
        <f>IF(ISNUMBER('멍텅(실측)'!L10),'멍텅(실측)'!L10+멍텅제작!AL10+멍텅A늘림,0)</f>
        <v>9</v>
      </c>
      <c r="Q10" s="4">
        <f>'멍텅(실측)'!M10-멍텅기둥차감</f>
        <v>2088</v>
      </c>
      <c r="R10" s="4">
        <f>'멍텅(실측)'!N10-멍텅기둥차감</f>
        <v>2082</v>
      </c>
      <c r="S10" s="4">
        <f>'멍텅(실측)'!O10-멍텅기둥차감</f>
        <v>2089</v>
      </c>
      <c r="T10" s="4">
        <f>'멍텅(실측)'!P10-멍텅기둥차감</f>
        <v>2093</v>
      </c>
      <c r="U10" s="4">
        <f>IF(ISNUMBER('멍텅(실측)'!Q10),IF(V10&gt;0,'멍텅(실측)'!Q10+멍텅U늘림,'멍텅(실측)'!Q10+1.2),0)</f>
        <v>32</v>
      </c>
      <c r="V10" s="4">
        <f>IF(OR(멍텅G="", 멍텅G=0),IF(ISNUMBER('멍텅(실측)'!R10),IF('멍텅(실측)'!R10+멍텅A늘림+MAX(AK10,AL10)&gt;9,'멍텅(실측)'!R10+멍텅A늘림+MAX(AK10,AL10),'멍텅(실측)'!R10+멍텅A늘림+MAX(AK10,AL10)),0),멍텅G)</f>
        <v>10</v>
      </c>
      <c r="W10" s="4">
        <f>'멍텅(실측)'!S10+뒷날개치수더함</f>
        <v>30</v>
      </c>
      <c r="X10" s="4">
        <f>'멍텅(실측)'!T10+뒷날개치수더함</f>
        <v>30</v>
      </c>
      <c r="Y10" s="13">
        <f>'멍텅(실측)'!U10-멍텅늘치차감</f>
        <v>11</v>
      </c>
      <c r="Z10" s="13">
        <f>IF(멍텅JB하부늘치=1,Y10,'멍텅(실측)'!V10-멍텅늘치차감)</f>
        <v>11</v>
      </c>
      <c r="AA10" s="13">
        <f>'멍텅(실측)'!W10-멍텅늘치차감</f>
        <v>11</v>
      </c>
      <c r="AB10" s="13">
        <f>IF(멍텅JB하부늘치=1,AA10,'멍텅(실측)'!X10-멍텅늘치차감)</f>
        <v>11</v>
      </c>
      <c r="AC10" s="11" t="str">
        <f t="shared" si="12"/>
        <v>1090*466.4</v>
      </c>
      <c r="AD10" s="12" t="str">
        <f t="shared" si="13"/>
        <v>2088*465.2</v>
      </c>
      <c r="AE10" s="10" t="str">
        <f t="shared" si="14"/>
        <v>2093*467.2</v>
      </c>
      <c r="AF10" s="4">
        <f>IF('멍텅(실측)'!Y10&gt;5,'멍텅(실측)'!Y10+뒷날개치수더함,'멍텅(실측)'!Y10)</f>
        <v>20</v>
      </c>
      <c r="AG10" s="4">
        <f>'멍텅(실측)'!Z10</f>
        <v>10</v>
      </c>
      <c r="AH10" s="4">
        <f>'멍텅(실측)'!AA10</f>
        <v>10</v>
      </c>
      <c r="AI10" s="31">
        <f>IF('멍텅(실측)'!AB10&gt;0,'멍텅(실측)'!AB10-'멍텅(실측)'!S10+1.2,0)</f>
        <v>0</v>
      </c>
      <c r="AJ10" s="31">
        <f>IF('멍텅(실측)'!AC10&gt;0,'멍텅(실측)'!AC10-'멍텅(실측)'!S10+1.2,0)</f>
        <v>0</v>
      </c>
      <c r="AK10" s="3">
        <f>IF(AND(ISNUMBER('멍텅(실측)'!L10),ISNUMBER('멍텅(실측)'!K10)),IF(ISNUMBER('멍텅(실측)'!K10),IF(9-MIN('멍텅(실측)'!K10+멍텅A늘림,'멍텅(실측)'!L10+멍텅A늘림)&lt;AM10,AM10,9-MIN('멍텅(실측)'!K10+멍텅A늘림,'멍텅(실측)'!L10+멍텅A늘림) + AM10 ),0),IF(ISNUMBER('멍텅(실측)'!K10),IF(9-'멍텅(실측)'!K10-멍텅A늘림+AM10&lt;AM10,AM10,9-'멍텅(실측)'!K10-멍텅A늘림+AM10),0))</f>
        <v>5</v>
      </c>
      <c r="AL10" s="3">
        <f>IF(AND(ISNUMBER('멍텅(실측)'!K10),ISNUMBER('멍텅(실측)'!L10)),IF(ISNUMBER('멍텅(실측)'!L10),IF(9-MIN('멍텅(실측)'!L10+멍텅A늘림,'멍텅(실측)'!K10+멍텅A늘림)+AM10&lt;AM10,AM10,9-MIN('멍텅(실측)'!L10+멍텅A늘림,'멍텅(실측)'!K10+멍텅A늘림)+AM10),0),IF(ISNUMBER('멍텅(실측)'!L10),IF(9-'멍텅(실측)'!L10-멍텅A늘림+AM10&lt;AM10,AM10,9-'멍텅(실측)'!L10-멍텅A늘림+AM10),0))</f>
        <v>5</v>
      </c>
      <c r="AM10" s="16"/>
      <c r="AN10" s="17">
        <f t="shared" si="15"/>
        <v>9.8939206697354134</v>
      </c>
      <c r="AO10" s="36">
        <f>IF(소장="박철우",E10-COS(RADIANS(AN10))*G10+2,E10-COS(RADIANS(AN10))*G10)</f>
        <v>2.8002504177574679</v>
      </c>
      <c r="AP10" s="36">
        <f>IF(소장="박철우",F10-COS(RADIANS(AN10))*I10+2,F10-COS(RADIANS(AN10))*I10)</f>
        <v>2.8002504177574679</v>
      </c>
      <c r="AQ10" s="46" t="str">
        <f t="shared" si="16"/>
        <v/>
      </c>
      <c r="AR10" s="3">
        <f t="shared" si="17"/>
        <v>1090</v>
      </c>
      <c r="AS10" s="3">
        <f t="shared" si="18"/>
        <v>466.4</v>
      </c>
      <c r="AT10" s="3">
        <f t="shared" si="19"/>
        <v>465.2</v>
      </c>
      <c r="AU10" s="3">
        <f t="shared" si="20"/>
        <v>2088</v>
      </c>
      <c r="AV10" s="3">
        <f t="shared" si="21"/>
        <v>467.2</v>
      </c>
      <c r="AW10" s="3">
        <f t="shared" si="22"/>
        <v>2093</v>
      </c>
      <c r="AX10">
        <f t="shared" si="23"/>
        <v>3</v>
      </c>
      <c r="AY10">
        <f t="shared" si="24"/>
        <v>-1</v>
      </c>
      <c r="AZ10" s="79">
        <f t="shared" si="25"/>
        <v>0</v>
      </c>
      <c r="BA10" s="83">
        <f>IF(소장="손상민",'멍텅(실측)'!AD10,0)</f>
        <v>0</v>
      </c>
    </row>
    <row r="11" spans="1:53" ht="26.25" customHeight="1" x14ac:dyDescent="0.3">
      <c r="A11" s="4">
        <f>'멍텅(실측)'!A11</f>
        <v>0</v>
      </c>
      <c r="B11" s="4" t="str">
        <f>'멍텅(실측)'!B11&amp;"F"</f>
        <v>B2F</v>
      </c>
      <c r="C11" s="4">
        <f>'멍텅(실측)'!C11-멍텅OP</f>
        <v>896</v>
      </c>
      <c r="D11" s="4">
        <f>'멍텅(실측)'!D11-멍텅R</f>
        <v>1031</v>
      </c>
      <c r="E11" s="50">
        <f>'멍텅(실측)'!E11+MAX(AK11,AL11)+IF(AZ11=1,Y11,0)+멍텅JBJD늘림치수</f>
        <v>390</v>
      </c>
      <c r="F11" s="50">
        <f>'멍텅(실측)'!F11+MAX(AK11,AL11)+IF(AZ11=1,AA11,0)+멍텅JBJD늘림치수</f>
        <v>390</v>
      </c>
      <c r="G11" s="50">
        <f>'멍텅(실측)'!G11+AK11+IF(AZ11=1,Y11,0)+멍텅JB강제키움+멍텅JBJD늘림치수</f>
        <v>393</v>
      </c>
      <c r="H11" s="50">
        <f>'멍텅(실측)'!G11+AK11+IF(AZ11=1,Z11,0)+멍텅JB강제키움+멍텅JBJD늘림치수-IF(멍텅JB하부늘치=1,'멍텅(실측)'!U11-'멍텅(실측)'!V11,0)</f>
        <v>393</v>
      </c>
      <c r="I11" s="50">
        <f>'멍텅(실측)'!H11+AL11+IF(AZ11=1,AA11,0)+멍텅JB강제키움+멍텅JBJD늘림치수</f>
        <v>393</v>
      </c>
      <c r="J11" s="50">
        <f>'멍텅(실측)'!H11+AL11+IF(AZ11=1,AB11,0)+멍텅JB강제키움+멍텅JBJD늘림치수-IF(멍텅JB하부늘치=1,'멍텅(실측)'!W11-'멍텅(실측)'!X11,0)</f>
        <v>393</v>
      </c>
      <c r="K11" s="4">
        <f t="shared" si="10"/>
        <v>30.5</v>
      </c>
      <c r="L11" s="4">
        <f t="shared" si="11"/>
        <v>30.5</v>
      </c>
      <c r="M11" s="4">
        <f>IF(O11&gt;0,'멍텅(실측)'!I11+멍텅C늘림,'멍텅(실측)'!I11+1)</f>
        <v>32</v>
      </c>
      <c r="N11" s="4">
        <f>IF(P11&gt;0,'멍텅(실측)'!J11+멍텅C늘림,'멍텅(실측)'!J11+1)</f>
        <v>32</v>
      </c>
      <c r="O11" s="4">
        <f>IF(ISNUMBER('멍텅(실측)'!K11),'멍텅(실측)'!K11+멍텅제작!AK11+멍텅A늘림,0)</f>
        <v>9</v>
      </c>
      <c r="P11" s="4">
        <f>IF(ISNUMBER('멍텅(실측)'!L11),'멍텅(실측)'!L11+멍텅제작!AL11+멍텅A늘림,0)</f>
        <v>12</v>
      </c>
      <c r="Q11" s="4">
        <f>'멍텅(실측)'!M11-멍텅기둥차감</f>
        <v>2100</v>
      </c>
      <c r="R11" s="4">
        <f>'멍텅(실측)'!N11-멍텅기둥차감</f>
        <v>2093</v>
      </c>
      <c r="S11" s="4">
        <f>'멍텅(실측)'!O11-멍텅기둥차감</f>
        <v>2098</v>
      </c>
      <c r="T11" s="4">
        <f>'멍텅(실측)'!P11-멍텅기둥차감</f>
        <v>2093</v>
      </c>
      <c r="U11" s="4">
        <f>IF(ISNUMBER('멍텅(실측)'!Q11),IF(V11&gt;0,'멍텅(실측)'!Q11+멍텅U늘림,'멍텅(실측)'!Q11+1.2),0)</f>
        <v>32</v>
      </c>
      <c r="V11" s="4">
        <f>IF(OR(멍텅G="", 멍텅G=0),IF(ISNUMBER('멍텅(실측)'!R11),IF('멍텅(실측)'!R11+멍텅A늘림+MAX(AK11,AL11)&gt;9,'멍텅(실측)'!R11+멍텅A늘림+MAX(AK11,AL11),'멍텅(실측)'!R11+멍텅A늘림+MAX(AK11,AL11)),0),멍텅G)</f>
        <v>11</v>
      </c>
      <c r="W11" s="4">
        <f>'멍텅(실측)'!S11+뒷날개치수더함</f>
        <v>30</v>
      </c>
      <c r="X11" s="4">
        <f>'멍텅(실측)'!T11+뒷날개치수더함</f>
        <v>30</v>
      </c>
      <c r="Y11" s="13">
        <f>'멍텅(실측)'!U11-멍텅늘치차감</f>
        <v>11</v>
      </c>
      <c r="Z11" s="13">
        <f>IF(멍텅JB하부늘치=1,Y11,'멍텅(실측)'!V11-멍텅늘치차감)</f>
        <v>11</v>
      </c>
      <c r="AA11" s="13">
        <f>'멍텅(실측)'!W11-멍텅늘치차감</f>
        <v>11</v>
      </c>
      <c r="AB11" s="13">
        <f>IF(멍텅JB하부늘치=1,AA11,'멍텅(실측)'!X11-멍텅늘치차감)</f>
        <v>11</v>
      </c>
      <c r="AC11" s="11" t="str">
        <f t="shared" si="12"/>
        <v>1092*470.4</v>
      </c>
      <c r="AD11" s="12" t="str">
        <f t="shared" si="13"/>
        <v>2100*470.2</v>
      </c>
      <c r="AE11" s="10" t="str">
        <f t="shared" si="14"/>
        <v>2098*473.2</v>
      </c>
      <c r="AF11" s="4">
        <f>IF('멍텅(실측)'!Y11&gt;5,'멍텅(실측)'!Y11+뒷날개치수더함,'멍텅(실측)'!Y11)</f>
        <v>20</v>
      </c>
      <c r="AG11" s="4">
        <f>'멍텅(실측)'!Z11</f>
        <v>10</v>
      </c>
      <c r="AH11" s="4">
        <f>'멍텅(실측)'!AA11</f>
        <v>10</v>
      </c>
      <c r="AI11" s="31">
        <f>IF('멍텅(실측)'!AB11&gt;0,'멍텅(실측)'!AB11-'멍텅(실측)'!S11+1.2,0)</f>
        <v>0</v>
      </c>
      <c r="AJ11" s="31">
        <f>IF('멍텅(실측)'!AC11&gt;0,'멍텅(실측)'!AC11-'멍텅(실측)'!S11+1.2,0)</f>
        <v>0</v>
      </c>
      <c r="AK11" s="3">
        <f>IF(AND(ISNUMBER('멍텅(실측)'!L11),ISNUMBER('멍텅(실측)'!K11)),IF(ISNUMBER('멍텅(실측)'!K11),IF(9-MIN('멍텅(실측)'!K11+멍텅A늘림,'멍텅(실측)'!L11+멍텅A늘림)&lt;AM11,AM11,9-MIN('멍텅(실측)'!K11+멍텅A늘림,'멍텅(실측)'!L11+멍텅A늘림) + AM11 ),0),IF(ISNUMBER('멍텅(실측)'!K11),IF(9-'멍텅(실측)'!K11-멍텅A늘림+AM11&lt;AM11,AM11,9-'멍텅(실측)'!K11-멍텅A늘림+AM11),0))</f>
        <v>8</v>
      </c>
      <c r="AL11" s="3">
        <f>IF(AND(ISNUMBER('멍텅(실측)'!K11),ISNUMBER('멍텅(실측)'!L11)),IF(ISNUMBER('멍텅(실측)'!L11),IF(9-MIN('멍텅(실측)'!L11+멍텅A늘림,'멍텅(실측)'!K11+멍텅A늘림)+AM11&lt;AM11,AM11,9-MIN('멍텅(실측)'!L11+멍텅A늘림,'멍텅(실측)'!K11+멍텅A늘림)+AM11),0),IF(ISNUMBER('멍텅(실측)'!L11),IF(9-'멍텅(실측)'!L11-멍텅A늘림+AM11&lt;AM11,AM11,9-'멍텅(실측)'!L11-멍텅A늘림+AM11),0))</f>
        <v>8</v>
      </c>
      <c r="AM11" s="16"/>
      <c r="AN11" s="17">
        <f t="shared" si="15"/>
        <v>9.8193006387578983</v>
      </c>
      <c r="AO11" s="36">
        <f>IF(소장="박철우",E11-COS(RADIANS(AN11))*G11+2,E11-COS(RADIANS(AN11))*G11)</f>
        <v>2.7572511988089445</v>
      </c>
      <c r="AP11" s="36">
        <f>IF(소장="박철우",F11-COS(RADIANS(AN11))*I11+2,F11-COS(RADIANS(AN11))*I11)</f>
        <v>2.7572511988089445</v>
      </c>
      <c r="AQ11" s="46" t="str">
        <f t="shared" si="16"/>
        <v/>
      </c>
      <c r="AR11" s="3">
        <f t="shared" si="17"/>
        <v>1092</v>
      </c>
      <c r="AS11" s="3">
        <f t="shared" si="18"/>
        <v>470.4</v>
      </c>
      <c r="AT11" s="3">
        <f t="shared" si="19"/>
        <v>470.2</v>
      </c>
      <c r="AU11" s="3">
        <f t="shared" si="20"/>
        <v>2100</v>
      </c>
      <c r="AV11" s="3">
        <f t="shared" si="21"/>
        <v>473.2</v>
      </c>
      <c r="AW11" s="3">
        <f t="shared" si="22"/>
        <v>2098</v>
      </c>
      <c r="AX11">
        <f t="shared" si="23"/>
        <v>3</v>
      </c>
      <c r="AY11">
        <f t="shared" si="24"/>
        <v>-2</v>
      </c>
      <c r="AZ11" s="79">
        <f t="shared" si="25"/>
        <v>0</v>
      </c>
      <c r="BA11" s="83">
        <f>IF(소장="손상민",'멍텅(실측)'!AD11,0)</f>
        <v>0</v>
      </c>
    </row>
    <row r="12" spans="1:53" ht="26.25" customHeight="1" x14ac:dyDescent="0.3">
      <c r="A12" s="4">
        <f>'멍텅(실측)'!A12</f>
        <v>0</v>
      </c>
      <c r="B12" s="4" t="str">
        <f>'멍텅(실측)'!B12&amp;"F"</f>
        <v>B3F</v>
      </c>
      <c r="C12" s="4">
        <f>'멍텅(실측)'!C12-멍텅OP</f>
        <v>896</v>
      </c>
      <c r="D12" s="4">
        <f>'멍텅(실측)'!D12-멍텅R</f>
        <v>1010</v>
      </c>
      <c r="E12" s="50">
        <f>'멍텅(실측)'!E12+MAX(AK12,AL12)+IF(AZ12=1,Y12,0)+멍텅JBJD늘림치수</f>
        <v>331</v>
      </c>
      <c r="F12" s="50">
        <f>'멍텅(실측)'!F12+MAX(AK12,AL12)+IF(AZ12=1,AA12,0)+멍텅JBJD늘림치수</f>
        <v>331</v>
      </c>
      <c r="G12" s="50">
        <f>'멍텅(실측)'!G12+AK12+IF(AZ12=1,Y12,0)+멍텅JB강제키움+멍텅JBJD늘림치수</f>
        <v>334</v>
      </c>
      <c r="H12" s="50">
        <f>'멍텅(실측)'!G12+AK12+IF(AZ12=1,Z12,0)+멍텅JB강제키움+멍텅JBJD늘림치수-IF(멍텅JB하부늘치=1,'멍텅(실측)'!U12-'멍텅(실측)'!V12,0)</f>
        <v>334</v>
      </c>
      <c r="I12" s="50">
        <f>'멍텅(실측)'!H12+AL12+IF(AZ12=1,AA12,0)+멍텅JB강제키움+멍텅JBJD늘림치수</f>
        <v>334</v>
      </c>
      <c r="J12" s="50">
        <f>'멍텅(실측)'!H12+AL12+IF(AZ12=1,AB12,0)+멍텅JB강제키움+멍텅JBJD늘림치수-IF(멍텅JB하부늘치=1,'멍텅(실측)'!W12-'멍텅(실측)'!X12,0)</f>
        <v>334</v>
      </c>
      <c r="K12" s="4">
        <f t="shared" si="10"/>
        <v>33.5</v>
      </c>
      <c r="L12" s="4">
        <f t="shared" si="11"/>
        <v>33.5</v>
      </c>
      <c r="M12" s="4">
        <f>IF(O12&gt;0,'멍텅(실측)'!I12+멍텅C늘림,'멍텅(실측)'!I12+1)</f>
        <v>35</v>
      </c>
      <c r="N12" s="4">
        <f>IF(P12&gt;0,'멍텅(실측)'!J12+멍텅C늘림,'멍텅(실측)'!J12+1)</f>
        <v>35</v>
      </c>
      <c r="O12" s="4">
        <f>IF(ISNUMBER('멍텅(실측)'!K12),'멍텅(실측)'!K12+멍텅제작!AK12+멍텅A늘림,0)</f>
        <v>9</v>
      </c>
      <c r="P12" s="4">
        <f>IF(ISNUMBER('멍텅(실측)'!L12),'멍텅(실측)'!L12+멍텅제작!AL12+멍텅A늘림,0)</f>
        <v>10</v>
      </c>
      <c r="Q12" s="4">
        <f>'멍텅(실측)'!M12-멍텅기둥차감</f>
        <v>2090</v>
      </c>
      <c r="R12" s="4">
        <f>'멍텅(실측)'!N12-멍텅기둥차감</f>
        <v>2093</v>
      </c>
      <c r="S12" s="4">
        <f>'멍텅(실측)'!O12-멍텅기둥차감</f>
        <v>2093</v>
      </c>
      <c r="T12" s="4">
        <f>'멍텅(실측)'!P12-멍텅기둥차감</f>
        <v>2093</v>
      </c>
      <c r="U12" s="4">
        <f>IF(ISNUMBER('멍텅(실측)'!Q12),IF(V12&gt;0,'멍텅(실측)'!Q12+멍텅U늘림,'멍텅(실측)'!Q12+1.2),0)</f>
        <v>35</v>
      </c>
      <c r="V12" s="4">
        <f>IF(OR(멍텅G="", 멍텅G=0),IF(ISNUMBER('멍텅(실측)'!R12),IF('멍텅(실측)'!R12+멍텅A늘림+MAX(AK12,AL12)&gt;9,'멍텅(실측)'!R12+멍텅A늘림+MAX(AK12,AL12),'멍텅(실측)'!R12+멍텅A늘림+MAX(AK12,AL12)),0),멍텅G)</f>
        <v>10</v>
      </c>
      <c r="W12" s="4">
        <f>'멍텅(실측)'!S12+뒷날개치수더함</f>
        <v>30</v>
      </c>
      <c r="X12" s="4">
        <f>'멍텅(실측)'!T12+뒷날개치수더함</f>
        <v>30</v>
      </c>
      <c r="Y12" s="13">
        <f>'멍텅(실측)'!U12-멍텅늘치차감</f>
        <v>11</v>
      </c>
      <c r="Z12" s="13">
        <f>IF(멍텅JB하부늘치=1,Y12,'멍텅(실측)'!V12-멍텅늘치차감)</f>
        <v>11</v>
      </c>
      <c r="AA12" s="13">
        <f>'멍텅(실측)'!W12-멍텅늘치차감</f>
        <v>11</v>
      </c>
      <c r="AB12" s="13">
        <f>IF(멍텅JB하부늘치=1,AA12,'멍텅(실측)'!X12-멍텅늘치차감)</f>
        <v>11</v>
      </c>
      <c r="AC12" s="11" t="str">
        <f t="shared" si="12"/>
        <v>1077*413.4</v>
      </c>
      <c r="AD12" s="12" t="str">
        <f t="shared" si="13"/>
        <v>2093*414.2</v>
      </c>
      <c r="AE12" s="10" t="str">
        <f t="shared" si="14"/>
        <v>2093*415.2</v>
      </c>
      <c r="AF12" s="4">
        <f>IF('멍텅(실측)'!Y12&gt;5,'멍텅(실측)'!Y12+뒷날개치수더함,'멍텅(실측)'!Y12)</f>
        <v>20</v>
      </c>
      <c r="AG12" s="4">
        <f>'멍텅(실측)'!Z12</f>
        <v>10</v>
      </c>
      <c r="AH12" s="4">
        <f>'멍텅(실측)'!AA12</f>
        <v>10</v>
      </c>
      <c r="AI12" s="31">
        <f>IF('멍텅(실측)'!AB12&gt;0,'멍텅(실측)'!AB12-'멍텅(실측)'!S12+1.2,0)</f>
        <v>0</v>
      </c>
      <c r="AJ12" s="31">
        <f>IF('멍텅(실측)'!AC12&gt;0,'멍텅(실측)'!AC12-'멍텅(실측)'!S12+1.2,0)</f>
        <v>0</v>
      </c>
      <c r="AK12" s="3">
        <f>IF(AND(ISNUMBER('멍텅(실측)'!L12),ISNUMBER('멍텅(실측)'!K12)),IF(ISNUMBER('멍텅(실측)'!K12),IF(9-MIN('멍텅(실측)'!K12+멍텅A늘림,'멍텅(실측)'!L12+멍텅A늘림)&lt;AM12,AM12,9-MIN('멍텅(실측)'!K12+멍텅A늘림,'멍텅(실측)'!L12+멍텅A늘림) + AM12 ),0),IF(ISNUMBER('멍텅(실측)'!K12),IF(9-'멍텅(실측)'!K12-멍텅A늘림+AM12&lt;AM12,AM12,9-'멍텅(실측)'!K12-멍텅A늘림+AM12),0))</f>
        <v>6</v>
      </c>
      <c r="AL12" s="3">
        <f>IF(AND(ISNUMBER('멍텅(실측)'!K12),ISNUMBER('멍텅(실측)'!L12)),IF(ISNUMBER('멍텅(실측)'!L12),IF(9-MIN('멍텅(실측)'!L12+멍텅A늘림,'멍텅(실측)'!K12+멍텅A늘림)+AM12&lt;AM12,AM12,9-MIN('멍텅(실측)'!L12+멍텅A늘림,'멍텅(실측)'!K12+멍텅A늘림)+AM12),0),IF(ISNUMBER('멍텅(실측)'!L12),IF(9-'멍텅(실측)'!L12-멍텅A늘림+AM12&lt;AM12,AM12,9-'멍텅(실측)'!L12-멍텅A늘림+AM12),0))</f>
        <v>6</v>
      </c>
      <c r="AM12" s="16"/>
      <c r="AN12" s="17">
        <f t="shared" si="15"/>
        <v>9.7708133898139451</v>
      </c>
      <c r="AO12" s="36">
        <f>IF(소장="박철우",E12-COS(RADIANS(AN12))*G12+2,E12-COS(RADIANS(AN12))*G12)</f>
        <v>1.8448450952733424</v>
      </c>
      <c r="AP12" s="36">
        <f>IF(소장="박철우",F12-COS(RADIANS(AN12))*I12+2,F12-COS(RADIANS(AN12))*I12)</f>
        <v>1.8448450952733424</v>
      </c>
      <c r="AQ12" s="46" t="str">
        <f t="shared" si="16"/>
        <v/>
      </c>
      <c r="AR12" s="3">
        <f t="shared" si="17"/>
        <v>1077</v>
      </c>
      <c r="AS12" s="3">
        <f t="shared" si="18"/>
        <v>413.4</v>
      </c>
      <c r="AT12" s="3">
        <f t="shared" si="19"/>
        <v>414.2</v>
      </c>
      <c r="AU12" s="3">
        <f t="shared" si="20"/>
        <v>2093</v>
      </c>
      <c r="AV12" s="3">
        <f t="shared" si="21"/>
        <v>415.2</v>
      </c>
      <c r="AW12" s="3">
        <f t="shared" si="22"/>
        <v>2093</v>
      </c>
      <c r="AX12">
        <f t="shared" si="23"/>
        <v>3</v>
      </c>
      <c r="AY12">
        <f t="shared" si="24"/>
        <v>-1</v>
      </c>
      <c r="AZ12" s="79">
        <f t="shared" si="25"/>
        <v>0</v>
      </c>
      <c r="BA12" s="83">
        <f>IF(소장="손상민",'멍텅(실측)'!AD12,0)</f>
        <v>0</v>
      </c>
    </row>
    <row r="13" spans="1:53" ht="26.25" customHeight="1" x14ac:dyDescent="0.3">
      <c r="A13" s="4">
        <f>'멍텅(실측)'!A13</f>
        <v>0</v>
      </c>
      <c r="B13" s="4" t="str">
        <f>'멍텅(실측)'!B13&amp;"F"</f>
        <v>B4F</v>
      </c>
      <c r="C13" s="4">
        <f>'멍텅(실측)'!C13-멍텅OP</f>
        <v>896</v>
      </c>
      <c r="D13" s="4">
        <f>'멍텅(실측)'!D13-멍텅R</f>
        <v>1008</v>
      </c>
      <c r="E13" s="50">
        <f>'멍텅(실측)'!E13+MAX(AK13,AL13)+IF(AZ13=1,Y13,0)+멍텅JBJD늘림치수</f>
        <v>326</v>
      </c>
      <c r="F13" s="50">
        <f>'멍텅(실측)'!F13+MAX(AK13,AL13)+IF(AZ13=1,AA13,0)+멍텅JBJD늘림치수</f>
        <v>326</v>
      </c>
      <c r="G13" s="50">
        <f>'멍텅(실측)'!G13+AK13+IF(AZ13=1,Y13,0)+멍텅JB강제키움+멍텅JBJD늘림치수</f>
        <v>329</v>
      </c>
      <c r="H13" s="50">
        <f>'멍텅(실측)'!G13+AK13+IF(AZ13=1,Z13,0)+멍텅JB강제키움+멍텅JBJD늘림치수-IF(멍텅JB하부늘치=1,'멍텅(실측)'!U13-'멍텅(실측)'!V13,0)</f>
        <v>329</v>
      </c>
      <c r="I13" s="50">
        <f>'멍텅(실측)'!H13+AL13+IF(AZ13=1,AA13,0)+멍텅JB강제키움+멍텅JBJD늘림치수</f>
        <v>329</v>
      </c>
      <c r="J13" s="50">
        <f>'멍텅(실측)'!H13+AL13+IF(AZ13=1,AB13,0)+멍텅JB강제키움+멍텅JBJD늘림치수-IF(멍텅JB하부늘치=1,'멍텅(실측)'!W13-'멍텅(실측)'!X13,0)</f>
        <v>329</v>
      </c>
      <c r="K13" s="4">
        <f t="shared" si="10"/>
        <v>33.5</v>
      </c>
      <c r="L13" s="4">
        <f t="shared" si="11"/>
        <v>33.5</v>
      </c>
      <c r="M13" s="4">
        <f>IF(O13&gt;0,'멍텅(실측)'!I13+멍텅C늘림,'멍텅(실측)'!I13+1)</f>
        <v>35</v>
      </c>
      <c r="N13" s="4">
        <f>IF(P13&gt;0,'멍텅(실측)'!J13+멍텅C늘림,'멍텅(실측)'!J13+1)</f>
        <v>35</v>
      </c>
      <c r="O13" s="4">
        <f>IF(ISNUMBER('멍텅(실측)'!K13),'멍텅(실측)'!K13+멍텅제작!AK13+멍텅A늘림,0)</f>
        <v>9</v>
      </c>
      <c r="P13" s="4">
        <f>IF(ISNUMBER('멍텅(실측)'!L13),'멍텅(실측)'!L13+멍텅제작!AL13+멍텅A늘림,0)</f>
        <v>9</v>
      </c>
      <c r="Q13" s="4">
        <f>'멍텅(실측)'!M13-멍텅기둥차감</f>
        <v>2085</v>
      </c>
      <c r="R13" s="4">
        <f>'멍텅(실측)'!N13-멍텅기둥차감</f>
        <v>2088</v>
      </c>
      <c r="S13" s="4">
        <f>'멍텅(실측)'!O13-멍텅기둥차감</f>
        <v>2088</v>
      </c>
      <c r="T13" s="4">
        <f>'멍텅(실측)'!P13-멍텅기둥차감</f>
        <v>2090</v>
      </c>
      <c r="U13" s="4">
        <f>IF(ISNUMBER('멍텅(실측)'!Q13),IF(V13&gt;0,'멍텅(실측)'!Q13+멍텅U늘림,'멍텅(실측)'!Q13+1.2),0)</f>
        <v>35</v>
      </c>
      <c r="V13" s="4">
        <f>IF(OR(멍텅G="", 멍텅G=0),IF(ISNUMBER('멍텅(실측)'!R13),IF('멍텅(실측)'!R13+멍텅A늘림+MAX(AK13,AL13)&gt;9,'멍텅(실측)'!R13+멍텅A늘림+MAX(AK13,AL13),'멍텅(실측)'!R13+멍텅A늘림+MAX(AK13,AL13)),0),멍텅G)</f>
        <v>11</v>
      </c>
      <c r="W13" s="4">
        <f>'멍텅(실측)'!S13+뒷날개치수더함</f>
        <v>30</v>
      </c>
      <c r="X13" s="4">
        <f>'멍텅(실측)'!T13+뒷날개치수더함</f>
        <v>30</v>
      </c>
      <c r="Y13" s="13">
        <f>'멍텅(실측)'!U13-멍텅늘치차감</f>
        <v>11</v>
      </c>
      <c r="Z13" s="13">
        <f>IF(멍텅JB하부늘치=1,Y13,'멍텅(실측)'!V13-멍텅늘치차감)</f>
        <v>11</v>
      </c>
      <c r="AA13" s="13">
        <f>'멍텅(실측)'!W13-멍텅늘치차감</f>
        <v>11</v>
      </c>
      <c r="AB13" s="13">
        <f>IF(멍텅JB하부늘치=1,AA13,'멍텅(실측)'!X13-멍텅늘치차감)</f>
        <v>11</v>
      </c>
      <c r="AC13" s="11" t="str">
        <f t="shared" si="12"/>
        <v>1075*409.4</v>
      </c>
      <c r="AD13" s="12" t="str">
        <f t="shared" si="13"/>
        <v>2088*409.2</v>
      </c>
      <c r="AE13" s="10" t="str">
        <f t="shared" si="14"/>
        <v>2090*409.2</v>
      </c>
      <c r="AF13" s="4">
        <f>IF('멍텅(실측)'!Y13&gt;5,'멍텅(실측)'!Y13+뒷날개치수더함,'멍텅(실측)'!Y13)</f>
        <v>20</v>
      </c>
      <c r="AG13" s="4">
        <f>'멍텅(실측)'!Z13</f>
        <v>10</v>
      </c>
      <c r="AH13" s="4">
        <f>'멍텅(실측)'!AA13</f>
        <v>10</v>
      </c>
      <c r="AI13" s="31">
        <f>IF('멍텅(실측)'!AB13&gt;0,'멍텅(실측)'!AB13-'멍텅(실측)'!S13+1.2,0)</f>
        <v>0</v>
      </c>
      <c r="AJ13" s="31">
        <f>IF('멍텅(실측)'!AC13&gt;0,'멍텅(실측)'!AC13-'멍텅(실측)'!S13+1.2,0)</f>
        <v>0</v>
      </c>
      <c r="AK13" s="3">
        <f>IF(AND(ISNUMBER('멍텅(실측)'!L13),ISNUMBER('멍텅(실측)'!K13)),IF(ISNUMBER('멍텅(실측)'!K13),IF(9-MIN('멍텅(실측)'!K13+멍텅A늘림,'멍텅(실측)'!L13+멍텅A늘림)&lt;AM13,AM13,9-MIN('멍텅(실측)'!K13+멍텅A늘림,'멍텅(실측)'!L13+멍텅A늘림) + AM13 ),0),IF(ISNUMBER('멍텅(실측)'!K13),IF(9-'멍텅(실측)'!K13-멍텅A늘림+AM13&lt;AM13,AM13,9-'멍텅(실측)'!K13-멍텅A늘림+AM13),0))</f>
        <v>0</v>
      </c>
      <c r="AL13" s="3">
        <f>IF(AND(ISNUMBER('멍텅(실측)'!K13),ISNUMBER('멍텅(실측)'!L13)),IF(ISNUMBER('멍텅(실측)'!L13),IF(9-MIN('멍텅(실측)'!L13+멍텅A늘림,'멍텅(실측)'!K13+멍텅A늘림)+AM13&lt;AM13,AM13,9-MIN('멍텅(실측)'!L13+멍텅A늘림,'멍텅(실측)'!K13+멍텅A늘림)+AM13),0),IF(ISNUMBER('멍텅(실측)'!L13),IF(9-'멍텅(실측)'!L13-멍텅A늘림+AM13&lt;AM13,AM13,9-'멍텅(실측)'!L13-멍텅A늘림+AM13),0))</f>
        <v>0</v>
      </c>
      <c r="AM13" s="16"/>
      <c r="AN13" s="17">
        <f t="shared" si="15"/>
        <v>9.7470901391074616</v>
      </c>
      <c r="AO13" s="36">
        <f>IF(소장="박철우",E13-COS(RADIANS(AN13))*G13+2,E13-COS(RADIANS(AN13))*G13)</f>
        <v>1.7492273595514689</v>
      </c>
      <c r="AP13" s="36">
        <f>IF(소장="박철우",F13-COS(RADIANS(AN13))*I13+2,F13-COS(RADIANS(AN13))*I13)</f>
        <v>1.7492273595514689</v>
      </c>
      <c r="AQ13" s="46" t="str">
        <f t="shared" si="16"/>
        <v/>
      </c>
      <c r="AR13" s="3">
        <f t="shared" si="17"/>
        <v>1075</v>
      </c>
      <c r="AS13" s="3">
        <f t="shared" si="18"/>
        <v>409.4</v>
      </c>
      <c r="AT13" s="3">
        <f t="shared" si="19"/>
        <v>409.2</v>
      </c>
      <c r="AU13" s="3">
        <f t="shared" si="20"/>
        <v>2088</v>
      </c>
      <c r="AV13" s="3">
        <f t="shared" si="21"/>
        <v>409.2</v>
      </c>
      <c r="AW13" s="3">
        <f t="shared" si="22"/>
        <v>2090</v>
      </c>
      <c r="AX13">
        <f t="shared" si="23"/>
        <v>3</v>
      </c>
      <c r="AY13">
        <f t="shared" si="24"/>
        <v>-2</v>
      </c>
      <c r="AZ13" s="79">
        <f t="shared" si="25"/>
        <v>0</v>
      </c>
      <c r="BA13" s="83">
        <f>IF(소장="손상민",'멍텅(실측)'!AD13,0)</f>
        <v>0</v>
      </c>
    </row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:D13">
    <cfRule type="cellIs" dxfId="67" priority="26" operator="greaterThan">
      <formula>1210</formula>
    </cfRule>
  </conditionalFormatting>
  <conditionalFormatting sqref="AF7:AH13">
    <cfRule type="cellIs" dxfId="66" priority="13" operator="greaterThan">
      <formula>1.2</formula>
    </cfRule>
  </conditionalFormatting>
  <conditionalFormatting sqref="G7:J13">
    <cfRule type="cellIs" dxfId="65" priority="11" operator="greaterThan">
      <formula>500</formula>
    </cfRule>
  </conditionalFormatting>
  <conditionalFormatting sqref="E7:E13">
    <cfRule type="cellIs" dxfId="64" priority="10" operator="notEqual">
      <formula>F7</formula>
    </cfRule>
  </conditionalFormatting>
  <conditionalFormatting sqref="F7:F13">
    <cfRule type="cellIs" dxfId="63" priority="9" operator="notEqual">
      <formula>E7</formula>
    </cfRule>
  </conditionalFormatting>
  <conditionalFormatting sqref="I7:I13">
    <cfRule type="cellIs" dxfId="62" priority="6" operator="notEqual">
      <formula>J7</formula>
    </cfRule>
  </conditionalFormatting>
  <conditionalFormatting sqref="J7:J13 H7:H13">
    <cfRule type="cellIs" dxfId="61" priority="4" operator="notEqual">
      <formula>G7</formula>
    </cfRule>
  </conditionalFormatting>
  <conditionalFormatting sqref="G7:G13">
    <cfRule type="cellIs" dxfId="60" priority="3" operator="notEqual">
      <formula>H7</formula>
    </cfRule>
  </conditionalFormatting>
  <conditionalFormatting sqref="Y7:AB13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sqref="A1:V1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서울 종로구 조계종불교문화역사기념관-2차 ) _김운호소장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서울 종로구 조계종불교문화역사기념관-2차 , 재질 : HL Ecolor Bronze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6" t="s">
        <v>203</v>
      </c>
      <c r="U5" s="166"/>
      <c r="V5" s="166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133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133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133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133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133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133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133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133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133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133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133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133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133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133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133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133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133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133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133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133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133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133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133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133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133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133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133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133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activeCell="Q7" sqref="Q7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74" t="str">
        <f>정보!B1 &amp; " (쪽쟘제작치수)  " &amp; 정보!B6 &amp;" 소장"</f>
        <v>서울 종로구 조계종불교문화역사기념관-2차 (쪽쟘제작치수)  김운호 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</row>
    <row r="2" spans="1:34" ht="30.75" customHeight="1" x14ac:dyDescent="0.3">
      <c r="A2" s="1"/>
      <c r="B2" s="1"/>
      <c r="C2" s="292" t="str">
        <f>"총 : " &amp; COUNTA(A7:A168) &amp;" (SET)"</f>
        <v>총 : 19 (SET)</v>
      </c>
      <c r="D2" s="292"/>
      <c r="E2" s="292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3" t="s">
        <v>139</v>
      </c>
      <c r="Q2" s="294"/>
      <c r="R2" s="294"/>
      <c r="S2" s="294"/>
      <c r="T2" s="61"/>
      <c r="U2" s="295">
        <v>1.2</v>
      </c>
      <c r="V2" s="295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Ecolor Bronze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6">
        <v>0</v>
      </c>
      <c r="J3" s="296"/>
      <c r="K3" s="63"/>
      <c r="L3" s="63"/>
      <c r="M3" s="246" t="s">
        <v>82</v>
      </c>
      <c r="N3" s="246"/>
      <c r="O3" s="246"/>
      <c r="P3" s="297">
        <v>0</v>
      </c>
      <c r="Q3" s="297"/>
      <c r="R3" s="243" t="s">
        <v>90</v>
      </c>
      <c r="S3" s="243"/>
      <c r="T3" s="64"/>
      <c r="U3" s="298">
        <v>0</v>
      </c>
      <c r="V3" s="298"/>
      <c r="W3" s="65"/>
      <c r="X3" s="65"/>
      <c r="Y3" s="65"/>
      <c r="Z3" s="65"/>
      <c r="AA3" s="65"/>
    </row>
    <row r="4" spans="1:34" ht="33" customHeight="1" x14ac:dyDescent="0.3">
      <c r="A4" s="172" t="str">
        <f>정보!B12</f>
        <v>제작치수 반영 : JB/JD +(0 ),  늘어난치수K -(0), OP - (0),  기둥차감 - (0)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93" t="s">
        <v>235</v>
      </c>
      <c r="Z4" s="193"/>
      <c r="AA4" s="194"/>
    </row>
    <row r="5" spans="1:34" ht="25.9" customHeight="1" x14ac:dyDescent="0.3">
      <c r="A5" s="165" t="s">
        <v>0</v>
      </c>
      <c r="B5" s="165" t="s">
        <v>119</v>
      </c>
      <c r="C5" s="166" t="s">
        <v>142</v>
      </c>
      <c r="D5" s="165" t="s">
        <v>120</v>
      </c>
      <c r="E5" s="166" t="s">
        <v>143</v>
      </c>
      <c r="F5" s="166" t="s">
        <v>144</v>
      </c>
      <c r="G5" s="166" t="s">
        <v>34</v>
      </c>
      <c r="H5" s="166" t="s">
        <v>145</v>
      </c>
      <c r="I5" s="166" t="s">
        <v>207</v>
      </c>
      <c r="J5" s="166" t="s">
        <v>208</v>
      </c>
      <c r="K5" s="166" t="s">
        <v>146</v>
      </c>
      <c r="L5" s="166" t="s">
        <v>147</v>
      </c>
      <c r="M5" s="288" t="s">
        <v>148</v>
      </c>
      <c r="N5" s="288" t="s">
        <v>149</v>
      </c>
      <c r="O5" s="165" t="s">
        <v>127</v>
      </c>
      <c r="P5" s="165" t="s">
        <v>15</v>
      </c>
      <c r="Q5" s="165" t="s">
        <v>129</v>
      </c>
      <c r="R5" s="165" t="s">
        <v>130</v>
      </c>
      <c r="S5" s="166" t="s">
        <v>150</v>
      </c>
      <c r="T5" s="288" t="s">
        <v>151</v>
      </c>
      <c r="U5" s="166" t="s">
        <v>133</v>
      </c>
      <c r="V5" s="166" t="s">
        <v>152</v>
      </c>
      <c r="W5" s="165" t="s">
        <v>135</v>
      </c>
      <c r="X5" s="165"/>
      <c r="Y5" s="290" t="s">
        <v>203</v>
      </c>
      <c r="Z5" s="290"/>
      <c r="AA5" s="290"/>
      <c r="AE5" s="179" t="s">
        <v>153</v>
      </c>
      <c r="AF5" s="179"/>
      <c r="AG5" s="179" t="s">
        <v>154</v>
      </c>
      <c r="AH5" s="179"/>
    </row>
    <row r="6" spans="1:34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213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0*-3.6</v>
      </c>
      <c r="D7" s="50">
        <f>'쪽쟘(실측)'!C7-쪽쟘OP차감</f>
        <v>0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IF('쪽쟘(실측)'!F7&gt;0,'쪽쟘(실측)'!F7-1.5,0)+뒷날개치수더함</f>
        <v>0</v>
      </c>
      <c r="J7" s="50">
        <f>IF('쪽쟘(실측)'!H7&gt;0,'쪽쟘(실측)'!H7-1.5,0)+뒷날개치수더함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0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0*-3.6</v>
      </c>
      <c r="D8" s="50">
        <f>'쪽쟘(실측)'!C8-쪽쟘OP차감</f>
        <v>0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IF('쪽쟘(실측)'!F8&gt;0,'쪽쟘(실측)'!F8-1.5,0)+뒷날개치수더함</f>
        <v>0</v>
      </c>
      <c r="J8" s="50">
        <f>IF('쪽쟘(실측)'!H8&gt;0,'쪽쟘(실측)'!H8-1.5,0)+뒷날개치수더함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0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0*-3.6</v>
      </c>
      <c r="D9" s="50">
        <f>'쪽쟘(실측)'!C9-쪽쟘OP차감</f>
        <v>0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IF('쪽쟘(실측)'!F9&gt;0,'쪽쟘(실측)'!F9-1.5,0)+뒷날개치수더함</f>
        <v>0</v>
      </c>
      <c r="J9" s="50">
        <f>IF('쪽쟘(실측)'!H9&gt;0,'쪽쟘(실측)'!H9-1.5,0)+뒷날개치수더함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0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0*-3.6</v>
      </c>
      <c r="D10" s="50">
        <f>'쪽쟘(실측)'!C10-쪽쟘OP차감</f>
        <v>0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IF('쪽쟘(실측)'!F10&gt;0,'쪽쟘(실측)'!F10-1.5,0)+뒷날개치수더함</f>
        <v>0</v>
      </c>
      <c r="J10" s="50">
        <f>IF('쪽쟘(실측)'!H10&gt;0,'쪽쟘(실측)'!H10-1.5,0)+뒷날개치수더함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0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0*-3.6</v>
      </c>
      <c r="D11" s="50">
        <f>'쪽쟘(실측)'!C11-쪽쟘OP차감</f>
        <v>0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IF('쪽쟘(실측)'!F11&gt;0,'쪽쟘(실측)'!F11-1.5,0)+뒷날개치수더함</f>
        <v>0</v>
      </c>
      <c r="J11" s="50">
        <f>IF('쪽쟘(실측)'!H11&gt;0,'쪽쟘(실측)'!H11-1.5,0)+뒷날개치수더함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0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0*-3.6</v>
      </c>
      <c r="D12" s="50">
        <f>'쪽쟘(실측)'!C12-쪽쟘OP차감</f>
        <v>0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IF('쪽쟘(실측)'!F12&gt;0,'쪽쟘(실측)'!F12-1.5,0)+뒷날개치수더함</f>
        <v>0</v>
      </c>
      <c r="J12" s="50">
        <f>IF('쪽쟘(실측)'!H12&gt;0,'쪽쟘(실측)'!H12-1.5,0)+뒷날개치수더함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0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0*-3.6</v>
      </c>
      <c r="D13" s="50">
        <f>'쪽쟘(실측)'!C13-쪽쟘OP차감</f>
        <v>0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IF('쪽쟘(실측)'!F13&gt;0,'쪽쟘(실측)'!F13-1.5,0)+뒷날개치수더함</f>
        <v>0</v>
      </c>
      <c r="J13" s="50">
        <f>IF('쪽쟘(실측)'!H13&gt;0,'쪽쟘(실측)'!H13-1.5,0)+뒷날개치수더함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0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0*-3.6</v>
      </c>
      <c r="D14" s="50">
        <f>'쪽쟘(실측)'!C14-쪽쟘OP차감</f>
        <v>0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IF('쪽쟘(실측)'!F14&gt;0,'쪽쟘(실측)'!F14-1.5,0)+뒷날개치수더함</f>
        <v>0</v>
      </c>
      <c r="J14" s="50">
        <f>IF('쪽쟘(실측)'!H14&gt;0,'쪽쟘(실측)'!H14-1.5,0)+뒷날개치수더함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0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0*-3.6</v>
      </c>
      <c r="D15" s="50">
        <f>'쪽쟘(실측)'!C15-쪽쟘OP차감</f>
        <v>0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IF('쪽쟘(실측)'!F15&gt;0,'쪽쟘(실측)'!F15-1.5,0)+뒷날개치수더함</f>
        <v>0</v>
      </c>
      <c r="J15" s="50">
        <f>IF('쪽쟘(실측)'!H15&gt;0,'쪽쟘(실측)'!H15-1.5,0)+뒷날개치수더함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0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0*-3.6</v>
      </c>
      <c r="D16" s="50">
        <f>'쪽쟘(실측)'!C16-쪽쟘OP차감</f>
        <v>0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IF('쪽쟘(실측)'!F16&gt;0,'쪽쟘(실측)'!F16-1.5,0)+뒷날개치수더함</f>
        <v>0</v>
      </c>
      <c r="J16" s="50">
        <f>IF('쪽쟘(실측)'!H16&gt;0,'쪽쟘(실측)'!H16-1.5,0)+뒷날개치수더함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0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0*-3.6</v>
      </c>
      <c r="D17" s="50">
        <f>'쪽쟘(실측)'!C17-쪽쟘OP차감</f>
        <v>0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IF('쪽쟘(실측)'!F17&gt;0,'쪽쟘(실측)'!F17-1.5,0)+뒷날개치수더함</f>
        <v>0</v>
      </c>
      <c r="J17" s="50">
        <f>IF('쪽쟘(실측)'!H17&gt;0,'쪽쟘(실측)'!H17-1.5,0)+뒷날개치수더함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0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0*-3.6</v>
      </c>
      <c r="D18" s="50">
        <f>'쪽쟘(실측)'!C18-쪽쟘OP차감</f>
        <v>0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IF('쪽쟘(실측)'!F18&gt;0,'쪽쟘(실측)'!F18-1.5,0)+뒷날개치수더함</f>
        <v>0</v>
      </c>
      <c r="J18" s="50">
        <f>IF('쪽쟘(실측)'!H18&gt;0,'쪽쟘(실측)'!H18-1.5,0)+뒷날개치수더함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0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0*-3.6</v>
      </c>
      <c r="D19" s="50">
        <f>'쪽쟘(실측)'!C19-쪽쟘OP차감</f>
        <v>0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IF('쪽쟘(실측)'!F19&gt;0,'쪽쟘(실측)'!F19-1.5,0)+뒷날개치수더함</f>
        <v>0</v>
      </c>
      <c r="J19" s="50">
        <f>IF('쪽쟘(실측)'!H19&gt;0,'쪽쟘(실측)'!H19-1.5,0)+뒷날개치수더함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0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0*-3.6</v>
      </c>
      <c r="D20" s="50">
        <f>'쪽쟘(실측)'!C20-쪽쟘OP차감</f>
        <v>0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IF('쪽쟘(실측)'!F20&gt;0,'쪽쟘(실측)'!F20-1.5,0)+뒷날개치수더함</f>
        <v>0</v>
      </c>
      <c r="J20" s="50">
        <f>IF('쪽쟘(실측)'!H20&gt;0,'쪽쟘(실측)'!H20-1.5,0)+뒷날개치수더함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0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0*-3.6</v>
      </c>
      <c r="D21" s="50">
        <f>'쪽쟘(실측)'!C21-쪽쟘OP차감</f>
        <v>0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IF('쪽쟘(실측)'!F21&gt;0,'쪽쟘(실측)'!F21-1.5,0)+뒷날개치수더함</f>
        <v>0</v>
      </c>
      <c r="J21" s="50">
        <f>IF('쪽쟘(실측)'!H21&gt;0,'쪽쟘(실측)'!H21-1.5,0)+뒷날개치수더함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0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0*-3.6</v>
      </c>
      <c r="D22" s="50">
        <f>'쪽쟘(실측)'!C22-쪽쟘OP차감</f>
        <v>0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IF('쪽쟘(실측)'!F22&gt;0,'쪽쟘(실측)'!F22-1.5,0)+뒷날개치수더함</f>
        <v>0</v>
      </c>
      <c r="J22" s="50">
        <f>IF('쪽쟘(실측)'!H22&gt;0,'쪽쟘(실측)'!H22-1.5,0)+뒷날개치수더함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0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0*-3.6</v>
      </c>
      <c r="D23" s="50">
        <f>'쪽쟘(실측)'!C23-쪽쟘OP차감</f>
        <v>0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IF('쪽쟘(실측)'!F23&gt;0,'쪽쟘(실측)'!F23-1.5,0)+뒷날개치수더함</f>
        <v>0</v>
      </c>
      <c r="J23" s="50">
        <f>IF('쪽쟘(실측)'!H23&gt;0,'쪽쟘(실측)'!H23-1.5,0)+뒷날개치수더함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0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0*-3.6</v>
      </c>
      <c r="D24" s="50">
        <f>'쪽쟘(실측)'!C24-쪽쟘OP차감</f>
        <v>0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IF('쪽쟘(실측)'!F24&gt;0,'쪽쟘(실측)'!F24-1.5,0)+뒷날개치수더함</f>
        <v>0</v>
      </c>
      <c r="J24" s="50">
        <f>IF('쪽쟘(실측)'!H24&gt;0,'쪽쟘(실측)'!H24-1.5,0)+뒷날개치수더함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0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0*-3.6</v>
      </c>
      <c r="D25" s="50">
        <f>'쪽쟘(실측)'!C25-쪽쟘OP차감</f>
        <v>0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IF('쪽쟘(실측)'!F25&gt;0,'쪽쟘(실측)'!F25-1.5,0)+뒷날개치수더함</f>
        <v>0</v>
      </c>
      <c r="J25" s="50">
        <f>IF('쪽쟘(실측)'!H25&gt;0,'쪽쟘(실측)'!H25-1.5,0)+뒷날개치수더함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0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</sheetData>
  <mergeCells count="38"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Y19" sqref="Y19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1" t="str">
        <f>정보!B1&amp;" (제작치수 샤링작지) "&amp;정보!B6&amp;" 소장"</f>
        <v>서울 종로구 조계종불교문화역사기념관-2차 (제작치수 샤링작지) 김운호 소장</v>
      </c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1"/>
      <c r="W1" s="301"/>
      <c r="X1" s="301"/>
    </row>
    <row r="2" spans="1:31" ht="30.75" customHeight="1" x14ac:dyDescent="0.3">
      <c r="A2" s="302" t="str">
        <f>"총 : " &amp; COUNTA(A7:A200) &amp;" (SET)"</f>
        <v>총 : 1 (SET)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293" t="s">
        <v>160</v>
      </c>
      <c r="Q2" s="294"/>
      <c r="R2" s="294"/>
      <c r="S2" s="294"/>
      <c r="T2" s="61"/>
      <c r="U2" s="295">
        <v>1.2</v>
      </c>
      <c r="V2" s="295"/>
      <c r="W2" s="1"/>
      <c r="X2" s="1"/>
    </row>
    <row r="3" spans="1:31" ht="33" customHeight="1" x14ac:dyDescent="0.3">
      <c r="A3" s="69" t="str">
        <f>정보!B9</f>
        <v>HL Ecolor Bronze 1.2T</v>
      </c>
      <c r="B3" s="69"/>
      <c r="C3" s="69"/>
      <c r="D3" s="69"/>
      <c r="E3" s="69"/>
      <c r="F3" s="69"/>
      <c r="G3" s="293" t="str">
        <f>"예상매수 : " &amp; ROUNDUP((SUM(AB7:AB200)+SUM(AD7:AD200))/1200,0) &amp;" 매"</f>
        <v>예상매수 : -1 매</v>
      </c>
      <c r="H3" s="293"/>
      <c r="I3" s="296">
        <v>0</v>
      </c>
      <c r="J3" s="296"/>
      <c r="K3" s="63"/>
      <c r="L3" s="63"/>
      <c r="M3" s="246" t="s">
        <v>161</v>
      </c>
      <c r="N3" s="246"/>
      <c r="O3" s="246"/>
      <c r="P3" s="297">
        <v>0</v>
      </c>
      <c r="Q3" s="297"/>
      <c r="R3" s="243" t="s">
        <v>162</v>
      </c>
      <c r="S3" s="243"/>
      <c r="T3" s="64"/>
      <c r="U3" s="298">
        <v>4</v>
      </c>
      <c r="V3" s="298"/>
      <c r="W3" s="65"/>
      <c r="X3" s="65"/>
    </row>
    <row r="4" spans="1:31" ht="9.75" customHeight="1" x14ac:dyDescent="0.3">
      <c r="A4" s="172"/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</row>
    <row r="5" spans="1:31" ht="25.9" customHeight="1" x14ac:dyDescent="0.3">
      <c r="A5" s="165" t="s">
        <v>163</v>
      </c>
      <c r="B5" s="165" t="s">
        <v>164</v>
      </c>
      <c r="C5" s="166" t="s">
        <v>165</v>
      </c>
      <c r="D5" s="165" t="s">
        <v>166</v>
      </c>
      <c r="E5" s="166" t="s">
        <v>167</v>
      </c>
      <c r="F5" s="166" t="s">
        <v>168</v>
      </c>
      <c r="G5" s="166" t="s">
        <v>169</v>
      </c>
      <c r="H5" s="166" t="s">
        <v>170</v>
      </c>
      <c r="I5" s="299" t="s">
        <v>171</v>
      </c>
      <c r="J5" s="166" t="s">
        <v>172</v>
      </c>
      <c r="K5" s="166" t="s">
        <v>173</v>
      </c>
      <c r="L5" s="166" t="s">
        <v>147</v>
      </c>
      <c r="M5" s="288" t="s">
        <v>174</v>
      </c>
      <c r="N5" s="288" t="s">
        <v>175</v>
      </c>
      <c r="O5" s="165" t="s">
        <v>176</v>
      </c>
      <c r="P5" s="165" t="s">
        <v>177</v>
      </c>
      <c r="Q5" s="165" t="s">
        <v>178</v>
      </c>
      <c r="R5" s="165" t="s">
        <v>179</v>
      </c>
      <c r="S5" s="166" t="s">
        <v>180</v>
      </c>
      <c r="T5" s="288" t="s">
        <v>151</v>
      </c>
      <c r="U5" s="166" t="s">
        <v>181</v>
      </c>
      <c r="V5" s="166" t="s">
        <v>182</v>
      </c>
      <c r="W5" s="165" t="s">
        <v>183</v>
      </c>
      <c r="X5" s="165"/>
      <c r="AB5" s="179" t="s">
        <v>184</v>
      </c>
      <c r="AC5" s="179"/>
      <c r="AD5" s="179" t="s">
        <v>185</v>
      </c>
      <c r="AE5" s="179"/>
    </row>
    <row r="6" spans="1:31" ht="36.75" customHeight="1" x14ac:dyDescent="0.3">
      <c r="A6" s="213"/>
      <c r="B6" s="213"/>
      <c r="C6" s="213"/>
      <c r="D6" s="213"/>
      <c r="E6" s="213"/>
      <c r="F6" s="213"/>
      <c r="G6" s="213"/>
      <c r="H6" s="213"/>
      <c r="I6" s="300"/>
      <c r="J6" s="213"/>
      <c r="K6" s="237"/>
      <c r="L6" s="237"/>
      <c r="M6" s="291"/>
      <c r="N6" s="291"/>
      <c r="O6" s="213"/>
      <c r="P6" s="213"/>
      <c r="Q6" s="213"/>
      <c r="R6" s="213"/>
      <c r="S6" s="213"/>
      <c r="T6" s="289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0*-3.6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0*-2.4</v>
      </c>
      <c r="H7" s="68" t="str">
        <f>IF(OR(쪽쟘제작!N7&lt;&gt;쪽쟘제작!M7,쪽쟘제작!Q7&lt;&gt;쪽쟘제작!R7),"",AE7&amp;"*"&amp;AD7)</f>
        <v>0*-2.4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f>쪽쟘제작!AC7</f>
        <v>0</v>
      </c>
      <c r="AA7">
        <f>쪽쟘제작!AD7</f>
        <v>-3.5999999999999996</v>
      </c>
      <c r="AB7">
        <f>쪽쟘제작!AE7</f>
        <v>-2.3999999999999995</v>
      </c>
      <c r="AC7">
        <f>쪽쟘제작!AF7</f>
        <v>0</v>
      </c>
      <c r="AD7">
        <f>쪽쟘제작!AG7</f>
        <v>-2.3999999999999995</v>
      </c>
      <c r="AE7">
        <f>쪽쟘제작!AH7</f>
        <v>0</v>
      </c>
    </row>
    <row r="8" spans="1:31" ht="18.75" customHeight="1" x14ac:dyDescent="0.3">
      <c r="A8" s="50"/>
      <c r="B8" s="50"/>
      <c r="C8" s="50"/>
      <c r="D8" s="50"/>
      <c r="E8" s="50"/>
      <c r="F8" s="50"/>
      <c r="G8" s="67"/>
      <c r="H8" s="68"/>
      <c r="I8" s="7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5" t="str">
        <f>정보!E2</f>
        <v>(SO와이드) 실측서 ( 서울 종로구 조계종불교문화역사기념관-2차 ) _김운호소장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서울 종로구 조계종불교문화역사기념관-2차,   (재질) : HL Ecolor Bronze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63" t="s">
        <v>98</v>
      </c>
      <c r="N3" s="163"/>
      <c r="O3" s="34"/>
      <c r="P3" s="34"/>
      <c r="Q3" s="34"/>
      <c r="R3" s="34"/>
      <c r="S3" s="34"/>
      <c r="T3" s="34"/>
      <c r="U3" s="34"/>
      <c r="V3" s="34"/>
      <c r="W3" s="34"/>
      <c r="X3" s="34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34"/>
      <c r="AJ3" s="34"/>
      <c r="AK3" s="34"/>
      <c r="AL3" s="34"/>
    </row>
    <row r="4" spans="1:47" ht="33" customHeight="1" x14ac:dyDescent="0.3">
      <c r="A4" s="305" t="str">
        <f>정보!B10</f>
        <v>제작치수 반영 : MH + (2), JB/JD +(3 ),  늘어난치수K -(3),  C + (0),   U + (0), OP - (2), R - (0),  기둥차감 - (0), A + (1)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3"/>
      <c r="AG4" s="162" t="s">
        <v>215</v>
      </c>
      <c r="AH4" s="162"/>
      <c r="AI4" s="75"/>
      <c r="AJ4" s="9"/>
      <c r="AK4" s="9"/>
      <c r="AL4" s="9"/>
    </row>
    <row r="5" spans="1:47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236</v>
      </c>
      <c r="F5" s="165" t="s">
        <v>239</v>
      </c>
      <c r="G5" s="165" t="s">
        <v>18</v>
      </c>
      <c r="H5" s="165" t="s">
        <v>4</v>
      </c>
      <c r="I5" s="165" t="s">
        <v>5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12</v>
      </c>
      <c r="O5" s="165" t="s">
        <v>13</v>
      </c>
      <c r="P5" s="165" t="s">
        <v>10</v>
      </c>
      <c r="Q5" s="165" t="s">
        <v>11</v>
      </c>
      <c r="R5" s="165" t="s">
        <v>14</v>
      </c>
      <c r="S5" s="165" t="s">
        <v>15</v>
      </c>
      <c r="T5" s="165" t="s">
        <v>16</v>
      </c>
      <c r="U5" s="165" t="s">
        <v>17</v>
      </c>
      <c r="V5" s="165" t="s">
        <v>19</v>
      </c>
      <c r="W5" s="166" t="s">
        <v>48</v>
      </c>
      <c r="X5" s="166" t="s">
        <v>22</v>
      </c>
      <c r="Y5" s="303" t="s">
        <v>237</v>
      </c>
      <c r="Z5" s="304" t="s">
        <v>243</v>
      </c>
      <c r="AA5" s="165" t="s">
        <v>21</v>
      </c>
      <c r="AB5" s="165"/>
      <c r="AC5" s="165"/>
      <c r="AD5" s="165"/>
      <c r="AE5" s="167" t="s">
        <v>91</v>
      </c>
      <c r="AF5" s="167" t="s">
        <v>92</v>
      </c>
      <c r="AG5" s="169" t="s">
        <v>212</v>
      </c>
      <c r="AH5" s="170"/>
      <c r="AI5" s="166" t="s">
        <v>199</v>
      </c>
      <c r="AJ5" s="166" t="s">
        <v>203</v>
      </c>
      <c r="AK5" s="166"/>
      <c r="AL5" s="166"/>
    </row>
    <row r="6" spans="1:47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6"/>
      <c r="Y6" s="303"/>
      <c r="Z6" s="304"/>
      <c r="AA6" s="8" t="s">
        <v>43</v>
      </c>
      <c r="AB6" s="8" t="s">
        <v>44</v>
      </c>
      <c r="AC6" s="8" t="s">
        <v>45</v>
      </c>
      <c r="AD6" s="8" t="s">
        <v>46</v>
      </c>
      <c r="AE6" s="168"/>
      <c r="AF6" s="168"/>
      <c r="AG6" s="74" t="s">
        <v>213</v>
      </c>
      <c r="AH6" s="74" t="s">
        <v>214</v>
      </c>
      <c r="AI6" s="165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O8" sqref="O8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07" t="str">
        <f>정보!F2</f>
        <v>(SO와이드) 제작변환 ( 서울 종로구 조계종불교문화역사기념관-2차 ) _김운호소장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7"/>
      <c r="AK1" s="307"/>
      <c r="AL1" s="307"/>
      <c r="AM1" s="307"/>
      <c r="AN1" s="307"/>
      <c r="AO1" s="307"/>
      <c r="AP1" s="307"/>
      <c r="AQ1" s="307"/>
      <c r="AR1" s="307"/>
      <c r="AS1" s="307"/>
      <c r="AT1" s="307"/>
      <c r="AU1" s="307"/>
      <c r="AV1" s="307"/>
      <c r="AW1" s="37"/>
      <c r="AX1" s="37"/>
    </row>
    <row r="2" spans="1:66" ht="29.25" customHeight="1" x14ac:dyDescent="0.3">
      <c r="A2" s="97" t="s">
        <v>85</v>
      </c>
      <c r="B2" s="139">
        <v>2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04" t="s">
        <v>113</v>
      </c>
      <c r="K2" s="205"/>
      <c r="L2" s="205"/>
      <c r="M2" s="205"/>
      <c r="N2" s="205"/>
      <c r="O2" s="205"/>
      <c r="P2" s="206">
        <v>1</v>
      </c>
      <c r="Q2" s="206"/>
      <c r="R2" s="197" t="s">
        <v>89</v>
      </c>
      <c r="S2" s="217"/>
      <c r="T2" s="218">
        <v>0</v>
      </c>
      <c r="U2" s="218"/>
      <c r="V2" s="165" t="s">
        <v>83</v>
      </c>
      <c r="W2" s="220"/>
      <c r="X2" s="220"/>
      <c r="Y2" s="221">
        <v>0</v>
      </c>
      <c r="Z2" s="221"/>
      <c r="AA2" s="312" t="str">
        <f>정보!B5</f>
        <v>TKEK HD S20D-OR</v>
      </c>
      <c r="AB2" s="313"/>
      <c r="AC2" s="313"/>
      <c r="AD2" s="313"/>
      <c r="AE2" s="313"/>
      <c r="AF2" s="313"/>
      <c r="AG2" s="313"/>
      <c r="AH2" s="313"/>
      <c r="AI2" s="313"/>
      <c r="AJ2" s="313"/>
      <c r="AK2" s="314"/>
      <c r="AL2" s="197" t="s">
        <v>90</v>
      </c>
      <c r="AM2" s="217"/>
      <c r="AN2" s="308">
        <v>3</v>
      </c>
      <c r="AO2" s="308"/>
      <c r="AP2" s="1"/>
      <c r="AQ2" s="309" t="s">
        <v>229</v>
      </c>
      <c r="AR2" s="310"/>
      <c r="AS2" s="311">
        <v>0</v>
      </c>
      <c r="AT2" s="311"/>
      <c r="AU2" s="1"/>
      <c r="AV2" s="1"/>
    </row>
    <row r="3" spans="1:66" ht="24.75" customHeight="1" x14ac:dyDescent="0.3">
      <c r="A3" s="28" t="str">
        <f>'SO와이드(실측)'!A3</f>
        <v>현장명 : 서울 종로구 조계종불교문화역사기념관-2차,   (재질) : HL Ecolor Bronze 1.2T</v>
      </c>
      <c r="B3" s="2"/>
      <c r="C3" s="2"/>
      <c r="D3" s="2"/>
      <c r="E3" s="2"/>
      <c r="F3" s="2"/>
      <c r="G3" s="2"/>
      <c r="H3" s="2"/>
      <c r="I3" s="2"/>
      <c r="J3" s="197" t="s">
        <v>228</v>
      </c>
      <c r="K3" s="197"/>
      <c r="L3" s="197"/>
      <c r="M3" s="197"/>
      <c r="N3" s="197"/>
      <c r="O3" s="197"/>
      <c r="P3" s="207">
        <v>3</v>
      </c>
      <c r="Q3" s="207"/>
      <c r="R3" s="217" t="s">
        <v>77</v>
      </c>
      <c r="S3" s="217"/>
      <c r="T3" s="224">
        <v>0</v>
      </c>
      <c r="U3" s="224"/>
      <c r="V3" s="225" t="s">
        <v>227</v>
      </c>
      <c r="W3" s="225"/>
      <c r="X3" s="225"/>
      <c r="Y3" s="226">
        <f>BN7</f>
        <v>1</v>
      </c>
      <c r="Z3" s="226"/>
      <c r="AA3" s="320" t="s">
        <v>78</v>
      </c>
      <c r="AB3" s="320"/>
      <c r="AC3" s="315">
        <v>1</v>
      </c>
      <c r="AD3" s="315"/>
      <c r="AL3" s="165" t="s">
        <v>73</v>
      </c>
      <c r="AM3" s="165"/>
      <c r="AN3" s="110">
        <v>5</v>
      </c>
      <c r="AO3" s="103" t="s">
        <v>74</v>
      </c>
      <c r="AP3" s="111">
        <v>4</v>
      </c>
      <c r="AQ3" s="189" t="s">
        <v>230</v>
      </c>
      <c r="AR3" s="189"/>
      <c r="AS3" s="191" t="s">
        <v>325</v>
      </c>
      <c r="AT3" s="192"/>
      <c r="AU3" s="195" t="e">
        <f>AY7</f>
        <v>#DIV/0!</v>
      </c>
      <c r="AV3" s="196"/>
      <c r="BN3" s="178" t="s">
        <v>253</v>
      </c>
    </row>
    <row r="4" spans="1:66" ht="33" customHeight="1" x14ac:dyDescent="0.3">
      <c r="A4" s="172" t="str">
        <f>정보!B10</f>
        <v>제작치수 반영 : MH + (2), JB/JD +(3 ),  늘어난치수K -(3),  C + (0),   U + (0), OP - (2), R - (0),  기둥차감 - (0),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306" t="s">
        <v>311</v>
      </c>
      <c r="AH4" s="306"/>
      <c r="AI4" s="256">
        <f>'SO와이드(실측)'!AA7</f>
        <v>0</v>
      </c>
      <c r="AJ4" s="256"/>
      <c r="AK4" s="185">
        <f ca="1">TODAY()</f>
        <v>45303</v>
      </c>
      <c r="AL4" s="171"/>
      <c r="AM4" s="171"/>
      <c r="AN4" s="9"/>
      <c r="AO4" s="321" t="s">
        <v>117</v>
      </c>
      <c r="AP4" s="321"/>
      <c r="AQ4" s="162" t="s">
        <v>215</v>
      </c>
      <c r="AR4" s="162"/>
      <c r="AS4" s="84"/>
      <c r="AT4" s="193" t="s">
        <v>235</v>
      </c>
      <c r="AU4" s="193"/>
      <c r="AV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236</v>
      </c>
      <c r="F5" s="165" t="s">
        <v>246</v>
      </c>
      <c r="G5" s="165" t="s">
        <v>18</v>
      </c>
      <c r="H5" s="212" t="s">
        <v>4</v>
      </c>
      <c r="I5" s="265" t="s">
        <v>42</v>
      </c>
      <c r="J5" s="209" t="s">
        <v>105</v>
      </c>
      <c r="K5" s="209" t="s">
        <v>106</v>
      </c>
      <c r="L5" s="182" t="s">
        <v>107</v>
      </c>
      <c r="M5" s="182" t="s">
        <v>108</v>
      </c>
      <c r="N5" s="316" t="s">
        <v>240</v>
      </c>
      <c r="O5" s="318" t="s">
        <v>241</v>
      </c>
      <c r="P5" s="213" t="s">
        <v>71</v>
      </c>
      <c r="Q5" s="213" t="s">
        <v>72</v>
      </c>
      <c r="R5" s="165" t="s">
        <v>8</v>
      </c>
      <c r="S5" s="165" t="s">
        <v>9</v>
      </c>
      <c r="T5" s="165" t="s">
        <v>12</v>
      </c>
      <c r="U5" s="165" t="s">
        <v>13</v>
      </c>
      <c r="V5" s="165" t="s">
        <v>10</v>
      </c>
      <c r="W5" s="165" t="s">
        <v>11</v>
      </c>
      <c r="X5" s="211" t="s">
        <v>14</v>
      </c>
      <c r="Y5" s="211" t="s">
        <v>15</v>
      </c>
      <c r="Z5" s="212" t="s">
        <v>16</v>
      </c>
      <c r="AA5" s="212" t="s">
        <v>17</v>
      </c>
      <c r="AB5" s="165" t="s">
        <v>19</v>
      </c>
      <c r="AC5" s="165" t="s">
        <v>20</v>
      </c>
      <c r="AD5" s="166" t="s">
        <v>22</v>
      </c>
      <c r="AE5" s="303" t="s">
        <v>242</v>
      </c>
      <c r="AF5" s="304" t="s">
        <v>238</v>
      </c>
      <c r="AG5" s="222" t="s">
        <v>79</v>
      </c>
      <c r="AH5" s="223"/>
      <c r="AI5" s="223"/>
      <c r="AJ5" s="223"/>
      <c r="AK5" s="215" t="s">
        <v>91</v>
      </c>
      <c r="AL5" s="215" t="s">
        <v>92</v>
      </c>
      <c r="AM5" s="230" t="s">
        <v>99</v>
      </c>
      <c r="AN5" s="166" t="s">
        <v>61</v>
      </c>
      <c r="AO5" s="166" t="s">
        <v>34</v>
      </c>
      <c r="AP5" s="166" t="s">
        <v>35</v>
      </c>
      <c r="AQ5" s="169" t="s">
        <v>212</v>
      </c>
      <c r="AR5" s="170"/>
      <c r="AS5" s="322" t="s">
        <v>199</v>
      </c>
      <c r="AT5" s="322" t="s">
        <v>204</v>
      </c>
      <c r="AU5" s="322"/>
      <c r="AV5" s="322"/>
      <c r="AW5" s="178" t="s">
        <v>100</v>
      </c>
      <c r="AX5" s="178" t="s">
        <v>101</v>
      </c>
      <c r="AY5" s="325" t="s">
        <v>244</v>
      </c>
      <c r="AZ5" s="324" t="s">
        <v>245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212"/>
      <c r="I6" s="265"/>
      <c r="J6" s="210"/>
      <c r="K6" s="210"/>
      <c r="L6" s="183"/>
      <c r="M6" s="183"/>
      <c r="N6" s="317"/>
      <c r="O6" s="319"/>
      <c r="P6" s="214"/>
      <c r="Q6" s="214"/>
      <c r="R6" s="165"/>
      <c r="S6" s="165"/>
      <c r="T6" s="165"/>
      <c r="U6" s="165"/>
      <c r="V6" s="165"/>
      <c r="W6" s="165"/>
      <c r="X6" s="211"/>
      <c r="Y6" s="211"/>
      <c r="Z6" s="212"/>
      <c r="AA6" s="212"/>
      <c r="AB6" s="165"/>
      <c r="AC6" s="165"/>
      <c r="AD6" s="166"/>
      <c r="AE6" s="303"/>
      <c r="AF6" s="304"/>
      <c r="AG6" s="8" t="s">
        <v>52</v>
      </c>
      <c r="AH6" s="8" t="s">
        <v>68</v>
      </c>
      <c r="AI6" s="8" t="s">
        <v>69</v>
      </c>
      <c r="AJ6" s="8" t="s">
        <v>70</v>
      </c>
      <c r="AK6" s="216"/>
      <c r="AL6" s="216"/>
      <c r="AM6" s="231"/>
      <c r="AN6" s="166"/>
      <c r="AO6" s="165"/>
      <c r="AP6" s="165"/>
      <c r="AQ6" s="74" t="s">
        <v>213</v>
      </c>
      <c r="AR6" s="74" t="s">
        <v>214</v>
      </c>
      <c r="AS6" s="323"/>
      <c r="AT6" s="86" t="s">
        <v>200</v>
      </c>
      <c r="AU6" s="86" t="s">
        <v>201</v>
      </c>
      <c r="AV6" s="86" t="s">
        <v>80</v>
      </c>
      <c r="AW6" s="179"/>
      <c r="AX6" s="179"/>
      <c r="AY6" s="324"/>
      <c r="AZ6" s="324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2</v>
      </c>
      <c r="D7" s="31">
        <f>'SO와이드(실측)'!D7+SO와이드MH더함-IF(AND(소장="추영덕",AB7=0),1.2)</f>
        <v>2</v>
      </c>
      <c r="E7" s="31">
        <f>'SO와이드(실측)'!E7-SO와이드OP</f>
        <v>-2</v>
      </c>
      <c r="F7" s="31">
        <f>'SO와이드(실측)'!F7-SO와이드OP</f>
        <v>-2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IF(BN7=0,J7+AI7-(L7+AI7),J7-L7)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-3</v>
      </c>
      <c r="AH7" s="31">
        <f>IF(SO와이드JB하부늘치=1,AG7,'SO와이드(실측)'!AB7-SO와이드늘치)</f>
        <v>-3</v>
      </c>
      <c r="AI7" s="31">
        <f>'SO와이드(실측)'!AC7-SO와이드늘치</f>
        <v>-3</v>
      </c>
      <c r="AJ7" s="31">
        <f>IF(SO와이드JB하부늘치=1,AI7,'SO와이드(실측)'!AD7-SO와이드늘치)</f>
        <v>-3</v>
      </c>
      <c r="AK7" s="31">
        <f xml:space="preserve"> IF(소장&lt;&gt;"손상민",IF('SO와이드(실측)'!AE7&gt;0,'SO와이드(실측)'!AE7,C7-1.2),IF('SO와이드(실측)'!AE7&gt;0,'SO와이드(실측)'!AE7+1.2,C7))</f>
        <v>0.8</v>
      </c>
      <c r="AL7" s="31">
        <f xml:space="preserve"> IF(소장&lt;&gt;"손상민",IF('SO와이드(실측)'!AF7&gt;0,'SO와이드(실측)'!AF7,D7-1.2),IF('SO와이드(실측)'!AF7&gt;0,'SO와이드(실측)'!AF7+1.2,D7) )</f>
        <v>0.8</v>
      </c>
      <c r="AM7" s="51">
        <f>IF(AC7&gt;0,AC7-MAX(T7,U7),0)</f>
        <v>0</v>
      </c>
      <c r="AN7" s="31" t="str">
        <f t="shared" ref="AN7" si="1">BF7&amp;"*"&amp;BG7</f>
        <v>0*-1.6</v>
      </c>
      <c r="AO7" s="31" t="str">
        <f t="shared" ref="AO7" si="2">BI7&amp;"*"&amp;BH7</f>
        <v>0.8*-2.4</v>
      </c>
      <c r="AP7" s="31" t="str">
        <f t="shared" ref="AP7" si="3">BK7&amp;"*"&amp;BJ7</f>
        <v>0.8*-2.4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-1.5999999999999999</v>
      </c>
      <c r="BH7" s="41">
        <f>V7+R7+MAX(J7,K7)+AE7-1.2*$AP$3+IF(BN7=0,MAX(AH7,AG7),0)+IF(V7=0,1.2,0)-IF(AV7=90,2.4,0)</f>
        <v>-2.3999999999999995</v>
      </c>
      <c r="BI7" s="41">
        <f>MAX(X7,Y7)+AK7</f>
        <v>0.8</v>
      </c>
      <c r="BJ7" s="41">
        <f>W7+S7+MAX(L7,M7)+AF7-1.2*$AP$3+IF(BN7=0,MAX(AI7,AJ7),0)+IF(W7=0,1.2,0)-IF(AV7=90,2.4,0)</f>
        <v>-2.3999999999999995</v>
      </c>
      <c r="BK7" s="41">
        <f>MAX(Z7,AA7)+AL7</f>
        <v>0.8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activeCell="A12" sqref="A12:XFD17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4" t="str">
        <f>정보!E3</f>
        <v>(SO멍텅구리) 실측서 ( 서울 종로구 조계종불교문화역사기념관-2차 ) _김운호소장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서울 종로구 조계종불교문화역사기념관-2차,   (재질) : HL Ecolor Bronze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72" t="str">
        <f>정보!B14</f>
        <v>제작치수 반영 : JB/JD +(3 ),  늘어난치수K -(3),  C + (0),  U +(0), OP1/OP2 - (2), R - (0),  기둥차감 - (0),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1"/>
      <c r="X4" s="171"/>
      <c r="Y4" s="171"/>
      <c r="Z4" s="171"/>
      <c r="AA4" s="171"/>
      <c r="AB4" s="171"/>
      <c r="AC4" s="173"/>
      <c r="AD4" s="162" t="s">
        <v>215</v>
      </c>
      <c r="AE4" s="162"/>
      <c r="AF4" s="81" t="s">
        <v>234</v>
      </c>
    </row>
    <row r="5" spans="1:41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5" t="s">
        <v>4</v>
      </c>
      <c r="G5" s="165" t="s">
        <v>5</v>
      </c>
      <c r="H5" s="165" t="s">
        <v>6</v>
      </c>
      <c r="I5" s="165" t="s">
        <v>7</v>
      </c>
      <c r="J5" s="165" t="s">
        <v>8</v>
      </c>
      <c r="K5" s="165" t="s">
        <v>9</v>
      </c>
      <c r="L5" s="165" t="s">
        <v>10</v>
      </c>
      <c r="M5" s="165" t="s">
        <v>11</v>
      </c>
      <c r="N5" s="165" t="s">
        <v>14</v>
      </c>
      <c r="O5" s="165" t="s">
        <v>15</v>
      </c>
      <c r="P5" s="165" t="s">
        <v>16</v>
      </c>
      <c r="Q5" s="165" t="s">
        <v>17</v>
      </c>
      <c r="R5" s="165" t="s">
        <v>19</v>
      </c>
      <c r="S5" s="165" t="s">
        <v>20</v>
      </c>
      <c r="T5" s="237" t="s">
        <v>22</v>
      </c>
      <c r="U5" s="303" t="s">
        <v>242</v>
      </c>
      <c r="V5" s="304" t="s">
        <v>238</v>
      </c>
      <c r="W5" s="239" t="s">
        <v>21</v>
      </c>
      <c r="X5" s="240"/>
      <c r="Y5" s="240"/>
      <c r="Z5" s="241"/>
      <c r="AA5" s="166" t="s">
        <v>203</v>
      </c>
      <c r="AB5" s="166"/>
      <c r="AC5" s="166"/>
      <c r="AD5" s="169" t="s">
        <v>212</v>
      </c>
      <c r="AE5" s="170"/>
      <c r="AF5" s="80" t="s">
        <v>231</v>
      </c>
    </row>
    <row r="6" spans="1:41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238"/>
      <c r="U6" s="303"/>
      <c r="V6" s="304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activeCell="W2" sqref="W2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정보!F3</f>
        <v>(SO멍텅구리) 제작변환 ( 서울 종로구 조계종불교문화역사기념관-2차 ) _김운호소장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"/>
      <c r="AN1" s="1"/>
      <c r="AO1" s="273" t="s">
        <v>75</v>
      </c>
      <c r="AP1" s="273"/>
      <c r="AQ1" s="273"/>
      <c r="AW1" s="24"/>
    </row>
    <row r="2" spans="1:58" ht="28.5" customHeight="1" x14ac:dyDescent="0.3">
      <c r="A2" s="97" t="s">
        <v>85</v>
      </c>
      <c r="B2" s="140">
        <v>2</v>
      </c>
      <c r="C2" s="332" t="s">
        <v>290</v>
      </c>
      <c r="D2" s="332"/>
      <c r="E2" s="116">
        <v>0</v>
      </c>
      <c r="F2" s="1"/>
      <c r="G2" s="1"/>
      <c r="H2" s="200" t="s">
        <v>81</v>
      </c>
      <c r="I2" s="200"/>
      <c r="J2" s="200"/>
      <c r="K2" s="327">
        <v>0</v>
      </c>
      <c r="L2" s="327"/>
      <c r="M2" s="327"/>
      <c r="N2" s="327"/>
      <c r="O2" s="205" t="s">
        <v>113</v>
      </c>
      <c r="P2" s="205"/>
      <c r="Q2" s="205"/>
      <c r="R2" s="205"/>
      <c r="S2" s="328">
        <v>1</v>
      </c>
      <c r="T2" s="328"/>
      <c r="U2" s="217" t="s">
        <v>103</v>
      </c>
      <c r="V2" s="217"/>
      <c r="W2" s="143">
        <v>0</v>
      </c>
      <c r="X2" s="205" t="s">
        <v>88</v>
      </c>
      <c r="Y2" s="205"/>
      <c r="Z2" s="329">
        <v>0</v>
      </c>
      <c r="AA2" s="329"/>
      <c r="AB2" s="22"/>
      <c r="AC2" s="197" t="s">
        <v>82</v>
      </c>
      <c r="AD2" s="217"/>
      <c r="AE2" s="330">
        <v>0</v>
      </c>
      <c r="AF2" s="330"/>
      <c r="AG2" s="142" t="s">
        <v>90</v>
      </c>
      <c r="AH2" s="331">
        <v>3</v>
      </c>
      <c r="AI2" s="331"/>
      <c r="AJ2" s="141"/>
      <c r="AK2" s="141"/>
      <c r="AL2" s="141"/>
      <c r="AM2" s="1"/>
      <c r="AN2" s="1"/>
      <c r="AO2" s="273"/>
      <c r="AP2" s="273"/>
      <c r="AQ2" s="273"/>
      <c r="AW2" s="24"/>
    </row>
    <row r="3" spans="1:58" ht="33" customHeight="1" x14ac:dyDescent="0.3">
      <c r="A3" s="33" t="str">
        <f>'SO멍텅(실측)'!A3</f>
        <v>현장명 : 서울 종로구 조계종불교문화역사기념관-2차,   (재질) : HL Ecolor Bronze 1.2T</v>
      </c>
      <c r="B3" s="2"/>
      <c r="C3" s="2"/>
      <c r="D3" s="2"/>
      <c r="E3" s="2"/>
      <c r="F3" s="2"/>
      <c r="G3" s="2"/>
      <c r="H3" s="155"/>
      <c r="I3" s="217" t="s">
        <v>76</v>
      </c>
      <c r="J3" s="217"/>
      <c r="K3" s="207">
        <v>3</v>
      </c>
      <c r="L3" s="207"/>
      <c r="M3" s="207"/>
      <c r="N3" s="207"/>
      <c r="O3" s="217" t="s">
        <v>77</v>
      </c>
      <c r="P3" s="217"/>
      <c r="Q3" s="224">
        <v>0</v>
      </c>
      <c r="R3" s="224"/>
      <c r="S3" s="205" t="s">
        <v>227</v>
      </c>
      <c r="T3" s="205"/>
      <c r="U3" s="205"/>
      <c r="V3" s="335">
        <f>BE7</f>
        <v>1</v>
      </c>
      <c r="W3" s="335"/>
      <c r="X3" s="205" t="s">
        <v>78</v>
      </c>
      <c r="Y3" s="205"/>
      <c r="Z3" s="326">
        <v>1</v>
      </c>
      <c r="AA3" s="326"/>
      <c r="AB3" s="64"/>
      <c r="AC3" s="156"/>
      <c r="AD3" s="156"/>
      <c r="AE3" s="333" t="s">
        <v>73</v>
      </c>
      <c r="AF3" s="333"/>
      <c r="AG3" s="157">
        <v>4</v>
      </c>
      <c r="AH3" s="142" t="s">
        <v>74</v>
      </c>
      <c r="AI3" s="157">
        <v>4</v>
      </c>
      <c r="AJ3" s="251" t="s">
        <v>326</v>
      </c>
      <c r="AK3" s="252"/>
      <c r="AL3" s="199"/>
      <c r="AM3" s="338" t="e">
        <f>AR7</f>
        <v>#DIV/0!</v>
      </c>
      <c r="AN3" s="171"/>
      <c r="AO3" s="25"/>
      <c r="AP3" s="25"/>
      <c r="AQ3" s="24"/>
      <c r="AW3" s="24"/>
    </row>
    <row r="4" spans="1:58" ht="33" customHeight="1" x14ac:dyDescent="0.3">
      <c r="A4" s="172" t="str">
        <f>'SO멍텅(실측)'!A4:AA4</f>
        <v>제작치수 반영 : JB/JD +(3 ),  늘어난치수K -(3),  C + (0),  U +(0), OP1/OP2 - (2), R - (0),  기둥차감 - (0),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336" t="s">
        <v>312</v>
      </c>
      <c r="AD4" s="336"/>
      <c r="AE4" s="337">
        <f>'SO멍텅(실측)'!W7</f>
        <v>0</v>
      </c>
      <c r="AF4" s="337"/>
      <c r="AG4" s="158"/>
      <c r="AH4" s="334">
        <f ca="1">TODAY()</f>
        <v>45303</v>
      </c>
      <c r="AI4" s="193"/>
      <c r="AJ4" s="193" t="s">
        <v>235</v>
      </c>
      <c r="AK4" s="193"/>
      <c r="AL4" s="194"/>
      <c r="AM4" s="162" t="s">
        <v>215</v>
      </c>
      <c r="AN4" s="162"/>
      <c r="AO4" s="25"/>
      <c r="AP4" s="25"/>
      <c r="AQ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248</v>
      </c>
      <c r="D5" s="165" t="s">
        <v>247</v>
      </c>
      <c r="E5" s="165" t="s">
        <v>18</v>
      </c>
      <c r="F5" s="166" t="s">
        <v>58</v>
      </c>
      <c r="G5" s="166" t="s">
        <v>59</v>
      </c>
      <c r="H5" s="264" t="s">
        <v>60</v>
      </c>
      <c r="I5" s="264" t="s">
        <v>64</v>
      </c>
      <c r="J5" s="339" t="s">
        <v>65</v>
      </c>
      <c r="K5" s="339" t="s">
        <v>66</v>
      </c>
      <c r="L5" s="316" t="s">
        <v>240</v>
      </c>
      <c r="M5" s="318" t="s">
        <v>241</v>
      </c>
      <c r="N5" s="237" t="s">
        <v>62</v>
      </c>
      <c r="O5" s="237" t="s">
        <v>63</v>
      </c>
      <c r="P5" s="165" t="s">
        <v>8</v>
      </c>
      <c r="Q5" s="165" t="s">
        <v>9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260" t="s">
        <v>20</v>
      </c>
      <c r="Z5" s="237" t="s">
        <v>22</v>
      </c>
      <c r="AA5" s="303" t="s">
        <v>242</v>
      </c>
      <c r="AB5" s="304" t="s">
        <v>238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322" t="s">
        <v>203</v>
      </c>
      <c r="AK5" s="322"/>
      <c r="AL5" s="322"/>
      <c r="AM5" s="169" t="s">
        <v>212</v>
      </c>
      <c r="AN5" s="170"/>
      <c r="AO5" s="178" t="s">
        <v>304</v>
      </c>
      <c r="AP5" s="178" t="s">
        <v>305</v>
      </c>
      <c r="AQ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265"/>
      <c r="I6" s="265"/>
      <c r="J6" s="340"/>
      <c r="K6" s="340"/>
      <c r="L6" s="317"/>
      <c r="M6" s="319"/>
      <c r="N6" s="238"/>
      <c r="O6" s="238"/>
      <c r="P6" s="165"/>
      <c r="Q6" s="165"/>
      <c r="R6" s="165"/>
      <c r="S6" s="165"/>
      <c r="T6" s="165"/>
      <c r="U6" s="165"/>
      <c r="V6" s="165"/>
      <c r="W6" s="165"/>
      <c r="X6" s="165"/>
      <c r="Y6" s="260"/>
      <c r="Z6" s="238"/>
      <c r="AA6" s="303"/>
      <c r="AB6" s="304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9"/>
      <c r="AP6" s="179"/>
      <c r="AQ6" s="261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-2</v>
      </c>
      <c r="D7" s="4">
        <f>'SO멍텅(실측)'!D7-SO멍텅OP</f>
        <v>-2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IF(BM7=0,H7+AE7-(J7+AE7),H7-J7)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-3</v>
      </c>
      <c r="AD7" s="13">
        <f>IF(SO멍텅JB하부늘치=1,AC7,'SO멍텅(실측)'!X7-SO멍텅늘치차감)</f>
        <v>-3</v>
      </c>
      <c r="AE7" s="13">
        <f>'SO멍텅(실측)'!Y7-SO멍텅늘치차감</f>
        <v>-3</v>
      </c>
      <c r="AF7" s="13">
        <f>IF(SO멍텅JB하부늘치=1,AE7,'SO멍텅(실측)'!Z7-SO멍텅늘치차감)</f>
        <v>-3</v>
      </c>
      <c r="AG7" s="11" t="str">
        <f t="shared" ref="AG7" si="1">AW7&amp;"*"&amp;AX7</f>
        <v>0*-3.6</v>
      </c>
      <c r="AH7" s="12" t="str">
        <f t="shared" ref="AH7" si="2">AZ7&amp;"*"&amp;AY7</f>
        <v>0*-2.6</v>
      </c>
      <c r="AI7" s="10" t="str">
        <f t="shared" ref="AI7" si="3">BB7&amp;"*"&amp;BA7</f>
        <v>0*-2.6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ABS(F7-COS(RADIANS(AR7))*H7)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0</v>
      </c>
      <c r="BA7" s="3">
        <f>S7+Q7+MAX(J7,K7)+AB7-1.2*$AI$3+IF(BE7=0,MAX(AE7,AF7))+IF(S7=0,1.2,0)-IF(AL7=90,2.4,0)</f>
        <v>-2.5999999999999996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activeCell="A12" sqref="A12:XFD16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5" t="str">
        <f>정보!H2</f>
        <v>(4CO와이드) 실측서 ( 서울 종로구 조계종불교문화역사기념관-2차 ) _김운호소장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5"/>
      <c r="AC2" s="175"/>
      <c r="AD2" s="175"/>
      <c r="AE2" s="175"/>
      <c r="AF2" s="175"/>
      <c r="AG2" s="175"/>
      <c r="AH2" s="175"/>
      <c r="AI2" s="175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서울 종로구 조계종불교문화역사기념관-2차,   (재질) : HL Ecolor Bronze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63" t="s">
        <v>98</v>
      </c>
      <c r="P3" s="16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5"/>
      <c r="AC3" s="175"/>
      <c r="AD3" s="175"/>
      <c r="AE3" s="175"/>
      <c r="AF3" s="175"/>
      <c r="AG3" s="175"/>
      <c r="AH3" s="175"/>
      <c r="AI3" s="175"/>
      <c r="AJ3" s="34"/>
      <c r="AK3" s="34"/>
      <c r="AL3" s="34"/>
      <c r="AM3" s="34"/>
    </row>
    <row r="4" spans="1:48" ht="33" customHeight="1" x14ac:dyDescent="0.3">
      <c r="A4" s="305" t="str">
        <f>정보!B15</f>
        <v>제작치수 반영 : MH + (2), JB/JD +(3 ),  늘어난치수K -(3),  C + (0),   U + (0), OP1/OP3 - (2), R - (0),  기둥차감 - (0), A + (1)</v>
      </c>
      <c r="B4" s="305"/>
      <c r="C4" s="305"/>
      <c r="D4" s="305"/>
      <c r="E4" s="305"/>
      <c r="F4" s="305"/>
      <c r="G4" s="305"/>
      <c r="H4" s="305"/>
      <c r="I4" s="305"/>
      <c r="J4" s="305"/>
      <c r="K4" s="305"/>
      <c r="L4" s="305"/>
      <c r="M4" s="305"/>
      <c r="N4" s="305"/>
      <c r="O4" s="305"/>
      <c r="P4" s="305"/>
      <c r="Q4" s="305"/>
      <c r="R4" s="305"/>
      <c r="S4" s="305"/>
      <c r="T4" s="305"/>
      <c r="U4" s="305"/>
      <c r="V4" s="305"/>
      <c r="W4" s="305"/>
      <c r="X4" s="171"/>
      <c r="Y4" s="171"/>
      <c r="Z4" s="171"/>
      <c r="AA4" s="171"/>
      <c r="AB4" s="171"/>
      <c r="AC4" s="171"/>
      <c r="AD4" s="171"/>
      <c r="AE4" s="171"/>
      <c r="AF4" s="171"/>
      <c r="AG4" s="173"/>
      <c r="AH4" s="162" t="s">
        <v>215</v>
      </c>
      <c r="AI4" s="162"/>
      <c r="AJ4" s="75"/>
      <c r="AK4" s="9"/>
      <c r="AL4" s="9"/>
      <c r="AM4" s="9"/>
    </row>
    <row r="5" spans="1:48" ht="25.9" customHeight="1" x14ac:dyDescent="0.3">
      <c r="A5" s="165" t="s">
        <v>0</v>
      </c>
      <c r="B5" s="165" t="s">
        <v>1</v>
      </c>
      <c r="C5" s="165" t="s">
        <v>2</v>
      </c>
      <c r="D5" s="165" t="s">
        <v>24</v>
      </c>
      <c r="E5" s="165" t="s">
        <v>254</v>
      </c>
      <c r="F5" s="165" t="s">
        <v>239</v>
      </c>
      <c r="G5" s="165" t="s">
        <v>255</v>
      </c>
      <c r="H5" s="165" t="s">
        <v>18</v>
      </c>
      <c r="I5" s="165" t="s">
        <v>4</v>
      </c>
      <c r="J5" s="165" t="s">
        <v>5</v>
      </c>
      <c r="K5" s="165" t="s">
        <v>256</v>
      </c>
      <c r="L5" s="165" t="s">
        <v>6</v>
      </c>
      <c r="M5" s="165" t="s">
        <v>7</v>
      </c>
      <c r="N5" s="165" t="s">
        <v>47</v>
      </c>
      <c r="O5" s="165" t="s">
        <v>9</v>
      </c>
      <c r="P5" s="165" t="s">
        <v>12</v>
      </c>
      <c r="Q5" s="165" t="s">
        <v>13</v>
      </c>
      <c r="R5" s="165" t="s">
        <v>10</v>
      </c>
      <c r="S5" s="165" t="s">
        <v>11</v>
      </c>
      <c r="T5" s="165" t="s">
        <v>14</v>
      </c>
      <c r="U5" s="165" t="s">
        <v>15</v>
      </c>
      <c r="V5" s="165" t="s">
        <v>16</v>
      </c>
      <c r="W5" s="165" t="s">
        <v>17</v>
      </c>
      <c r="X5" s="165" t="s">
        <v>19</v>
      </c>
      <c r="Y5" s="166" t="s">
        <v>48</v>
      </c>
      <c r="Z5" s="166" t="s">
        <v>22</v>
      </c>
      <c r="AA5" s="166" t="s">
        <v>23</v>
      </c>
      <c r="AB5" s="165" t="s">
        <v>21</v>
      </c>
      <c r="AC5" s="165"/>
      <c r="AD5" s="165"/>
      <c r="AE5" s="165"/>
      <c r="AF5" s="167" t="s">
        <v>91</v>
      </c>
      <c r="AG5" s="167" t="s">
        <v>92</v>
      </c>
      <c r="AH5" s="169" t="s">
        <v>212</v>
      </c>
      <c r="AI5" s="170"/>
      <c r="AJ5" s="166" t="s">
        <v>199</v>
      </c>
      <c r="AK5" s="166" t="s">
        <v>203</v>
      </c>
      <c r="AL5" s="166"/>
      <c r="AM5" s="166"/>
    </row>
    <row r="6" spans="1:48" ht="44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6"/>
      <c r="AA6" s="166"/>
      <c r="AB6" s="8" t="s">
        <v>43</v>
      </c>
      <c r="AC6" s="8" t="s">
        <v>44</v>
      </c>
      <c r="AD6" s="8" t="s">
        <v>45</v>
      </c>
      <c r="AE6" s="8" t="s">
        <v>46</v>
      </c>
      <c r="AF6" s="168"/>
      <c r="AG6" s="168"/>
      <c r="AH6" s="74" t="s">
        <v>213</v>
      </c>
      <c r="AI6" s="74" t="s">
        <v>214</v>
      </c>
      <c r="AJ6" s="165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1" si="2">AB9+$AN9</f>
        <v>0</v>
      </c>
      <c r="AP9" s="3">
        <f t="shared" ref="AP9:AP11" si="3">AC9+$AN9</f>
        <v>0</v>
      </c>
      <c r="AQ9" s="3">
        <f t="shared" ref="AQ9:AQ11" si="4">AD9+$AN9</f>
        <v>0</v>
      </c>
      <c r="AR9" s="3">
        <f t="shared" ref="AR9:AR11" si="5">AE9+$AN9</f>
        <v>0</v>
      </c>
      <c r="AS9" s="3">
        <f t="shared" ref="AS9:AS11" si="6">I9-$AN9</f>
        <v>0</v>
      </c>
      <c r="AT9" s="3">
        <f t="shared" ref="AT9:AT11" si="7">J9-$AN9</f>
        <v>0</v>
      </c>
      <c r="AU9" s="3">
        <f t="shared" ref="AU9:AU11" si="8">L9-$AN9</f>
        <v>0</v>
      </c>
      <c r="AV9" s="3">
        <f t="shared" ref="AV9:AV11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/>
      <c r="AP12" s="3"/>
      <c r="AQ12" s="3"/>
      <c r="AR12" s="3"/>
      <c r="AS12" s="3"/>
      <c r="AT12" s="3"/>
      <c r="AU12" s="3"/>
      <c r="AV12" s="3"/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/>
      <c r="AP13" s="3"/>
      <c r="AQ13" s="3"/>
      <c r="AR13" s="3"/>
      <c r="AS13" s="3"/>
      <c r="AT13" s="3"/>
      <c r="AU13" s="3"/>
      <c r="AV13" s="3"/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/>
      <c r="AP14" s="3"/>
      <c r="AQ14" s="3"/>
      <c r="AR14" s="3"/>
      <c r="AS14" s="3"/>
      <c r="AT14" s="3"/>
      <c r="AU14" s="3"/>
      <c r="AV14" s="3"/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/>
      <c r="AP15" s="3"/>
      <c r="AQ15" s="3"/>
      <c r="AR15" s="3"/>
      <c r="AS15" s="3"/>
      <c r="AT15" s="3"/>
      <c r="AU15" s="3"/>
      <c r="AV15" s="3"/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/>
      <c r="AP16" s="3"/>
      <c r="AQ16" s="3"/>
      <c r="AR16" s="3"/>
      <c r="AS16" s="3"/>
      <c r="AT16" s="3"/>
      <c r="AU16" s="3"/>
      <c r="AV16" s="3"/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activeCell="AO3" sqref="AO3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229" t="str">
        <f>정보!I2</f>
        <v>(4CO와이드) 제작변환 ( 서울 종로구 조계종불교문화역사기념관-2차 ) _김운호소장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9"/>
      <c r="AG1" s="229"/>
      <c r="AH1" s="229"/>
      <c r="AI1" s="229"/>
      <c r="AJ1" s="229"/>
      <c r="AK1" s="229"/>
      <c r="AL1" s="229"/>
      <c r="AM1" s="229"/>
      <c r="AN1" s="229"/>
      <c r="AO1" s="229"/>
      <c r="AP1" s="229"/>
      <c r="AQ1" s="229"/>
      <c r="AR1" s="229"/>
      <c r="AS1" s="229"/>
      <c r="AT1" s="229"/>
      <c r="AU1" s="229"/>
      <c r="AV1" s="229"/>
      <c r="AW1" s="229"/>
      <c r="AX1" s="37"/>
      <c r="AY1" s="37"/>
    </row>
    <row r="2" spans="1:66" ht="29.25" customHeight="1" x14ac:dyDescent="0.3">
      <c r="A2" s="97" t="s">
        <v>96</v>
      </c>
      <c r="B2" s="139">
        <v>2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04" t="s">
        <v>113</v>
      </c>
      <c r="M2" s="205"/>
      <c r="N2" s="205"/>
      <c r="O2" s="205"/>
      <c r="P2" s="205"/>
      <c r="Q2" s="205"/>
      <c r="R2" s="206">
        <v>1</v>
      </c>
      <c r="S2" s="206"/>
      <c r="T2" s="197" t="s">
        <v>89</v>
      </c>
      <c r="U2" s="217"/>
      <c r="V2" s="218">
        <v>0</v>
      </c>
      <c r="W2" s="218"/>
      <c r="X2" s="283" t="s">
        <v>83</v>
      </c>
      <c r="Y2" s="225"/>
      <c r="Z2" s="225"/>
      <c r="AA2" s="221">
        <v>0</v>
      </c>
      <c r="AB2" s="221"/>
      <c r="AC2" s="312" t="str">
        <f>정보!B5</f>
        <v>TKEK HD S20D-OR</v>
      </c>
      <c r="AD2" s="313"/>
      <c r="AE2" s="313"/>
      <c r="AF2" s="313"/>
      <c r="AG2" s="313"/>
      <c r="AH2" s="313"/>
      <c r="AI2" s="313"/>
      <c r="AJ2" s="313"/>
      <c r="AK2" s="313"/>
      <c r="AL2" s="314"/>
      <c r="AM2" s="197" t="s">
        <v>90</v>
      </c>
      <c r="AN2" s="217"/>
      <c r="AO2" s="343">
        <v>3</v>
      </c>
      <c r="AP2" s="343"/>
      <c r="AQ2" s="1"/>
      <c r="AR2" s="309" t="s">
        <v>229</v>
      </c>
      <c r="AS2" s="310"/>
      <c r="AT2" s="311">
        <v>0</v>
      </c>
      <c r="AU2" s="311"/>
      <c r="AV2" s="1"/>
      <c r="AW2" s="1"/>
    </row>
    <row r="3" spans="1:66" ht="24.75" customHeight="1" x14ac:dyDescent="0.3">
      <c r="A3" s="28" t="str">
        <f>'4CO와이드(실측)'!A3</f>
        <v>현장명 : 서울 종로구 조계종불교문화역사기념관-2차,   (재질) : HL Ecolor Bronze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05" t="s">
        <v>228</v>
      </c>
      <c r="M3" s="205"/>
      <c r="N3" s="205"/>
      <c r="O3" s="205"/>
      <c r="P3" s="205"/>
      <c r="Q3" s="205"/>
      <c r="R3" s="207">
        <v>3</v>
      </c>
      <c r="S3" s="207"/>
      <c r="T3" s="217" t="s">
        <v>77</v>
      </c>
      <c r="U3" s="217"/>
      <c r="V3" s="224">
        <v>0</v>
      </c>
      <c r="W3" s="224"/>
      <c r="X3" s="225" t="s">
        <v>227</v>
      </c>
      <c r="Y3" s="225"/>
      <c r="Z3" s="225"/>
      <c r="AA3" s="226">
        <f>BN7</f>
        <v>1</v>
      </c>
      <c r="AB3" s="226"/>
      <c r="AC3" s="225" t="s">
        <v>78</v>
      </c>
      <c r="AD3" s="225"/>
      <c r="AE3" s="315">
        <v>1</v>
      </c>
      <c r="AF3" s="315"/>
      <c r="AJ3" s="179"/>
      <c r="AK3" s="179"/>
      <c r="AL3" s="3"/>
      <c r="AM3" s="165" t="s">
        <v>73</v>
      </c>
      <c r="AN3" s="165"/>
      <c r="AO3" s="114">
        <v>5</v>
      </c>
      <c r="AP3" s="4" t="s">
        <v>74</v>
      </c>
      <c r="AQ3" s="115">
        <v>4</v>
      </c>
      <c r="AR3" s="189" t="s">
        <v>230</v>
      </c>
      <c r="AS3" s="189"/>
      <c r="AT3" s="342" t="s">
        <v>327</v>
      </c>
      <c r="AU3" s="342"/>
      <c r="AV3" s="195" t="e">
        <f>AZ7</f>
        <v>#DIV/0!</v>
      </c>
      <c r="AW3" s="196"/>
      <c r="BN3" s="178" t="s">
        <v>253</v>
      </c>
    </row>
    <row r="4" spans="1:66" ht="33" customHeight="1" x14ac:dyDescent="0.3">
      <c r="A4" s="172" t="str">
        <f>정보!B15</f>
        <v>제작치수 반영 : MH + (2), JB/JD +(3 ),  늘어난치수K -(3),  C + (0),   U + (0), OP1/OP3 - (2), R - (0),  기둥차감 - (0),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341" t="s">
        <v>313</v>
      </c>
      <c r="AI4" s="341"/>
      <c r="AJ4" s="341">
        <f>'4CO와이드(실측)'!AB7</f>
        <v>0</v>
      </c>
      <c r="AK4" s="341"/>
      <c r="AL4" s="185">
        <f ca="1">TODAY()</f>
        <v>45303</v>
      </c>
      <c r="AM4" s="171"/>
      <c r="AN4" s="171"/>
      <c r="AO4" s="9"/>
      <c r="AP4" s="184" t="s">
        <v>117</v>
      </c>
      <c r="AQ4" s="184"/>
      <c r="AR4" s="162" t="s">
        <v>215</v>
      </c>
      <c r="AS4" s="162"/>
      <c r="AT4" s="84"/>
      <c r="AU4" s="193" t="s">
        <v>235</v>
      </c>
      <c r="AV4" s="193"/>
      <c r="AW4" s="194"/>
      <c r="BN4" s="179"/>
    </row>
    <row r="5" spans="1:66" ht="25.9" customHeight="1" x14ac:dyDescent="0.3">
      <c r="A5" s="165" t="s">
        <v>0</v>
      </c>
      <c r="B5" s="165" t="s">
        <v>1</v>
      </c>
      <c r="C5" s="165" t="s">
        <v>2</v>
      </c>
      <c r="D5" s="165" t="s">
        <v>2</v>
      </c>
      <c r="E5" s="165" t="s">
        <v>259</v>
      </c>
      <c r="F5" s="166" t="s">
        <v>261</v>
      </c>
      <c r="G5" s="165" t="s">
        <v>260</v>
      </c>
      <c r="H5" s="165" t="s">
        <v>18</v>
      </c>
      <c r="I5" s="212" t="s">
        <v>41</v>
      </c>
      <c r="J5" s="265" t="s">
        <v>42</v>
      </c>
      <c r="K5" s="265" t="s">
        <v>262</v>
      </c>
      <c r="L5" s="209" t="s">
        <v>105</v>
      </c>
      <c r="M5" s="209" t="s">
        <v>106</v>
      </c>
      <c r="N5" s="182" t="s">
        <v>107</v>
      </c>
      <c r="O5" s="182" t="s">
        <v>108</v>
      </c>
      <c r="P5" s="316" t="s">
        <v>295</v>
      </c>
      <c r="Q5" s="316" t="s">
        <v>296</v>
      </c>
      <c r="R5" s="213" t="s">
        <v>71</v>
      </c>
      <c r="S5" s="213" t="s">
        <v>72</v>
      </c>
      <c r="T5" s="165" t="s">
        <v>8</v>
      </c>
      <c r="U5" s="165" t="s">
        <v>9</v>
      </c>
      <c r="V5" s="165" t="s">
        <v>12</v>
      </c>
      <c r="W5" s="165" t="s">
        <v>13</v>
      </c>
      <c r="X5" s="165" t="s">
        <v>10</v>
      </c>
      <c r="Y5" s="165" t="s">
        <v>11</v>
      </c>
      <c r="Z5" s="211" t="s">
        <v>14</v>
      </c>
      <c r="AA5" s="211" t="s">
        <v>15</v>
      </c>
      <c r="AB5" s="212" t="s">
        <v>16</v>
      </c>
      <c r="AC5" s="212" t="s">
        <v>17</v>
      </c>
      <c r="AD5" s="165" t="s">
        <v>19</v>
      </c>
      <c r="AE5" s="165" t="s">
        <v>20</v>
      </c>
      <c r="AF5" s="166" t="s">
        <v>22</v>
      </c>
      <c r="AG5" s="166" t="s">
        <v>23</v>
      </c>
      <c r="AH5" s="222" t="s">
        <v>79</v>
      </c>
      <c r="AI5" s="223"/>
      <c r="AJ5" s="223"/>
      <c r="AK5" s="223"/>
      <c r="AL5" s="215" t="s">
        <v>91</v>
      </c>
      <c r="AM5" s="215" t="s">
        <v>92</v>
      </c>
      <c r="AN5" s="230" t="s">
        <v>99</v>
      </c>
      <c r="AO5" s="166" t="s">
        <v>61</v>
      </c>
      <c r="AP5" s="166" t="s">
        <v>34</v>
      </c>
      <c r="AQ5" s="166" t="s">
        <v>35</v>
      </c>
      <c r="AR5" s="169" t="s">
        <v>212</v>
      </c>
      <c r="AS5" s="170"/>
      <c r="AT5" s="322" t="s">
        <v>199</v>
      </c>
      <c r="AU5" s="322" t="s">
        <v>204</v>
      </c>
      <c r="AV5" s="322"/>
      <c r="AW5" s="322"/>
      <c r="AX5" s="178" t="s">
        <v>100</v>
      </c>
      <c r="AY5" s="178" t="s">
        <v>101</v>
      </c>
      <c r="AZ5" s="179" t="s">
        <v>80</v>
      </c>
      <c r="BA5" s="232" t="s">
        <v>84</v>
      </c>
      <c r="BB5" s="235" t="s">
        <v>102</v>
      </c>
      <c r="BC5" s="234" t="s">
        <v>94</v>
      </c>
      <c r="BD5" s="234" t="s">
        <v>95</v>
      </c>
      <c r="BE5" s="178" t="s">
        <v>93</v>
      </c>
      <c r="BH5" s="186" t="s">
        <v>28</v>
      </c>
      <c r="BI5" s="186"/>
      <c r="BJ5" s="186" t="s">
        <v>29</v>
      </c>
      <c r="BK5" s="186"/>
      <c r="BL5" s="6" t="s">
        <v>50</v>
      </c>
      <c r="BM5" s="177" t="s">
        <v>104</v>
      </c>
      <c r="BN5" s="176" t="s">
        <v>226</v>
      </c>
    </row>
    <row r="6" spans="1:66" ht="48" customHeight="1" x14ac:dyDescent="0.3">
      <c r="A6" s="165"/>
      <c r="B6" s="165"/>
      <c r="C6" s="165"/>
      <c r="D6" s="165"/>
      <c r="E6" s="165"/>
      <c r="F6" s="165"/>
      <c r="G6" s="165"/>
      <c r="H6" s="165"/>
      <c r="I6" s="212"/>
      <c r="J6" s="265"/>
      <c r="K6" s="265"/>
      <c r="L6" s="210"/>
      <c r="M6" s="210"/>
      <c r="N6" s="183"/>
      <c r="O6" s="183"/>
      <c r="P6" s="317"/>
      <c r="Q6" s="317"/>
      <c r="R6" s="214"/>
      <c r="S6" s="214"/>
      <c r="T6" s="165"/>
      <c r="U6" s="165"/>
      <c r="V6" s="165"/>
      <c r="W6" s="165"/>
      <c r="X6" s="165"/>
      <c r="Y6" s="165"/>
      <c r="Z6" s="211"/>
      <c r="AA6" s="211"/>
      <c r="AB6" s="212"/>
      <c r="AC6" s="212"/>
      <c r="AD6" s="165"/>
      <c r="AE6" s="165"/>
      <c r="AF6" s="166"/>
      <c r="AG6" s="166"/>
      <c r="AH6" s="8" t="s">
        <v>67</v>
      </c>
      <c r="AI6" s="8" t="s">
        <v>68</v>
      </c>
      <c r="AJ6" s="8" t="s">
        <v>69</v>
      </c>
      <c r="AK6" s="8" t="s">
        <v>70</v>
      </c>
      <c r="AL6" s="216"/>
      <c r="AM6" s="216"/>
      <c r="AN6" s="231"/>
      <c r="AO6" s="166"/>
      <c r="AP6" s="165"/>
      <c r="AQ6" s="165"/>
      <c r="AR6" s="74" t="s">
        <v>213</v>
      </c>
      <c r="AS6" s="74" t="s">
        <v>214</v>
      </c>
      <c r="AT6" s="323"/>
      <c r="AU6" s="86" t="s">
        <v>200</v>
      </c>
      <c r="AV6" s="86" t="s">
        <v>201</v>
      </c>
      <c r="AW6" s="86" t="s">
        <v>202</v>
      </c>
      <c r="AX6" s="179"/>
      <c r="AY6" s="179"/>
      <c r="AZ6" s="179"/>
      <c r="BA6" s="233"/>
      <c r="BB6" s="236"/>
      <c r="BC6" s="234"/>
      <c r="BD6" s="234"/>
      <c r="BE6" s="179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77"/>
      <c r="BN6" s="176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</v>
      </c>
      <c r="F7" s="31">
        <f>'4CO와이드(실측)'!F7</f>
        <v>0</v>
      </c>
      <c r="G7" s="31">
        <f>'4CO와이드(실측)'!G7-CO4와이드OP/2</f>
        <v>-1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-3</v>
      </c>
      <c r="AI7" s="31">
        <f>IF(CO4와이드JB하부늘치=1,AH7,'4CO와이드(실측)'!AC7-CO4와이드늘치)</f>
        <v>-3</v>
      </c>
      <c r="AJ7" s="31">
        <f>'4CO와이드(실측)'!AD7-CO4와이드늘치</f>
        <v>-3</v>
      </c>
      <c r="AK7" s="31">
        <f>IF(CO4와이드JB하부늘치=1,AJ7,'4CO와이드(실측)'!AE7-CO4와이드늘치)</f>
        <v>-3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0*-1.6</v>
      </c>
      <c r="AP7" s="31" t="str">
        <f t="shared" ref="AP7" si="2">BI7&amp;"*"&amp;BH7</f>
        <v>0.8*-2.4</v>
      </c>
      <c r="AQ7" s="31" t="str">
        <f t="shared" ref="AQ7" si="3">BK7&amp;"*"&amp;BJ7</f>
        <v>0.8*-2.4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-1.5999999999999999</v>
      </c>
      <c r="BH7" s="41">
        <f>X7+T7+MAX(L7,M7)+AG7-1.2*$AQ$3+IF(BN7=0,MAX(AI7,AH7),0)+IF(X7=0,1.2,0)-IF(AW7=90,2.4,0)</f>
        <v>-2.3999999999999995</v>
      </c>
      <c r="BI7" s="41">
        <f>MAX(Z7,AA7)+AL7</f>
        <v>0.8</v>
      </c>
      <c r="BJ7" s="41">
        <f>Y7+U7+MAX(N7,O7)+AG7-1.2*$AQ$3+IF(BN7=0,MAX(AJ7,AK7),0)+IF(Y7=0,1.2,0)-IF(AW7=90,2.4,0)</f>
        <v>-2.3999999999999995</v>
      </c>
      <c r="BK7" s="41">
        <f>MAX(AB7,AC7)+AM7</f>
        <v>0.8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activeCell="A10" sqref="A10:XFD1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4" t="str">
        <f>정보!H3</f>
        <v>(4CO멍텅구리) 실측서 ( 서울 종로구 조계종불교문화역사기념관-2차 ) _김운호소장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서울 종로구 조계종불교문화역사기념관-2차,   (재질) : HL Ecolor Bronze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72" t="str">
        <f>정보!B16</f>
        <v>제작치수 반영 : JB/JD +(3 ),  늘어난치수K -(3),  C + (0),  U +(0), OP1/OP3 - (2), R - (0),  기둥차감 - (0),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9"/>
      <c r="AD4" s="9"/>
      <c r="AE4" s="162" t="s">
        <v>215</v>
      </c>
      <c r="AF4" s="162"/>
      <c r="AG4" s="81" t="s">
        <v>234</v>
      </c>
    </row>
    <row r="5" spans="1:42" ht="25.9" customHeight="1" x14ac:dyDescent="0.3">
      <c r="A5" s="165" t="s">
        <v>0</v>
      </c>
      <c r="B5" s="165" t="s">
        <v>1</v>
      </c>
      <c r="C5" s="165" t="s">
        <v>263</v>
      </c>
      <c r="D5" s="165" t="s">
        <v>264</v>
      </c>
      <c r="E5" s="165" t="s">
        <v>255</v>
      </c>
      <c r="F5" s="165" t="s">
        <v>18</v>
      </c>
      <c r="G5" s="165" t="s">
        <v>4</v>
      </c>
      <c r="H5" s="165" t="s">
        <v>265</v>
      </c>
      <c r="I5" s="165" t="s">
        <v>266</v>
      </c>
      <c r="J5" s="165" t="s">
        <v>6</v>
      </c>
      <c r="K5" s="165" t="s">
        <v>7</v>
      </c>
      <c r="L5" s="165" t="s">
        <v>8</v>
      </c>
      <c r="M5" s="165" t="s">
        <v>9</v>
      </c>
      <c r="N5" s="165" t="s">
        <v>10</v>
      </c>
      <c r="O5" s="165" t="s">
        <v>11</v>
      </c>
      <c r="P5" s="165" t="s">
        <v>14</v>
      </c>
      <c r="Q5" s="165" t="s">
        <v>15</v>
      </c>
      <c r="R5" s="165" t="s">
        <v>16</v>
      </c>
      <c r="S5" s="165" t="s">
        <v>17</v>
      </c>
      <c r="T5" s="165" t="s">
        <v>19</v>
      </c>
      <c r="U5" s="165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6" t="s">
        <v>203</v>
      </c>
      <c r="AC5" s="166"/>
      <c r="AD5" s="166"/>
      <c r="AE5" s="169" t="s">
        <v>212</v>
      </c>
      <c r="AF5" s="170"/>
      <c r="AG5" s="80" t="s">
        <v>231</v>
      </c>
    </row>
    <row r="6" spans="1:42" ht="47.25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9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9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/>
      <c r="AJ10" s="3"/>
      <c r="AK10" s="3"/>
      <c r="AL10" s="3"/>
      <c r="AM10" s="3"/>
      <c r="AN10" s="3"/>
      <c r="AO10" s="3"/>
      <c r="AP10" s="3"/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/>
      <c r="AJ11" s="3"/>
      <c r="AK11" s="3"/>
      <c r="AL11" s="3"/>
      <c r="AM11" s="3"/>
      <c r="AN11" s="3"/>
      <c r="AO11" s="3"/>
      <c r="AP11" s="3"/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AI3" sqref="AI3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4" t="str">
        <f>정보!I3</f>
        <v>(4CO멍텅구리) 제작변환 ( 서울 종로구 조계종불교문화역사기념관-2차 ) _김운호소장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"/>
      <c r="AO1" s="1"/>
      <c r="AP1" s="273" t="s">
        <v>75</v>
      </c>
      <c r="AQ1" s="273"/>
      <c r="AR1" s="273"/>
      <c r="AW1" s="24"/>
    </row>
    <row r="2" spans="1:58" ht="28.5" customHeight="1" x14ac:dyDescent="0.3">
      <c r="A2" s="97" t="s">
        <v>85</v>
      </c>
      <c r="B2" s="140">
        <v>2</v>
      </c>
      <c r="C2" s="22"/>
      <c r="D2" s="22"/>
      <c r="E2" s="96" t="s">
        <v>86</v>
      </c>
      <c r="F2" s="116">
        <v>0</v>
      </c>
      <c r="G2" s="1"/>
      <c r="H2" s="1"/>
      <c r="I2" s="1"/>
      <c r="J2" s="200" t="s">
        <v>306</v>
      </c>
      <c r="K2" s="200"/>
      <c r="L2" s="200"/>
      <c r="M2" s="107">
        <v>0</v>
      </c>
      <c r="N2" s="99"/>
      <c r="O2" s="99"/>
      <c r="P2" s="99"/>
      <c r="Q2" s="271" t="s">
        <v>113</v>
      </c>
      <c r="R2" s="271"/>
      <c r="S2" s="271"/>
      <c r="T2" s="271"/>
      <c r="U2" s="281">
        <v>1</v>
      </c>
      <c r="V2" s="281"/>
      <c r="W2" s="267" t="s">
        <v>103</v>
      </c>
      <c r="X2" s="268"/>
      <c r="Y2" s="95">
        <v>0</v>
      </c>
      <c r="Z2" s="267" t="s">
        <v>88</v>
      </c>
      <c r="AA2" s="268"/>
      <c r="AB2" s="94">
        <v>0</v>
      </c>
      <c r="AC2" s="69"/>
      <c r="AD2" s="258" t="s">
        <v>82</v>
      </c>
      <c r="AE2" s="275"/>
      <c r="AF2" s="344">
        <v>0</v>
      </c>
      <c r="AG2" s="344"/>
      <c r="AH2" s="98" t="s">
        <v>114</v>
      </c>
      <c r="AI2" s="345">
        <v>3</v>
      </c>
      <c r="AJ2" s="345"/>
      <c r="AK2" s="1"/>
      <c r="AL2" s="1"/>
      <c r="AM2" s="1"/>
      <c r="AN2" s="1"/>
      <c r="AO2" s="1"/>
      <c r="AP2" s="273"/>
      <c r="AQ2" s="273"/>
      <c r="AR2" s="273"/>
      <c r="AW2" s="24"/>
    </row>
    <row r="3" spans="1:58" ht="33" customHeight="1" x14ac:dyDescent="0.3">
      <c r="A3" s="33" t="str">
        <f>'4CO멍텅(실측)'!A3</f>
        <v>현장명 : 서울 종로구 조계종불교문화역사기념관-2차,   (재질) : HL Ecolor Bronze 1.2T</v>
      </c>
      <c r="B3" s="2"/>
      <c r="C3" s="2"/>
      <c r="D3" s="2"/>
      <c r="E3" s="2"/>
      <c r="F3" s="2"/>
      <c r="G3" s="2"/>
      <c r="H3" s="2"/>
      <c r="I3" s="2"/>
      <c r="J3" s="2"/>
      <c r="K3" s="258" t="s">
        <v>76</v>
      </c>
      <c r="L3" s="258"/>
      <c r="M3" s="106">
        <v>3</v>
      </c>
      <c r="N3" s="100"/>
      <c r="O3" s="100"/>
      <c r="P3" s="100"/>
      <c r="Q3" s="258" t="s">
        <v>77</v>
      </c>
      <c r="R3" s="258"/>
      <c r="S3" s="270">
        <v>0</v>
      </c>
      <c r="T3" s="270"/>
      <c r="U3" s="271" t="s">
        <v>227</v>
      </c>
      <c r="V3" s="271"/>
      <c r="W3" s="271"/>
      <c r="X3" s="272">
        <f>BE7</f>
        <v>1</v>
      </c>
      <c r="Y3" s="272"/>
      <c r="Z3" s="282" t="s">
        <v>78</v>
      </c>
      <c r="AA3" s="282"/>
      <c r="AB3" s="93">
        <v>1</v>
      </c>
      <c r="AC3" s="101"/>
      <c r="AF3" s="213" t="s">
        <v>73</v>
      </c>
      <c r="AG3" s="213"/>
      <c r="AH3" s="114">
        <v>4</v>
      </c>
      <c r="AI3" s="4" t="s">
        <v>74</v>
      </c>
      <c r="AJ3" s="115">
        <v>4</v>
      </c>
      <c r="AK3" s="251" t="s">
        <v>328</v>
      </c>
      <c r="AL3" s="199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 x14ac:dyDescent="0.3">
      <c r="A4" s="172" t="str">
        <f>'4CO멍텅(실측)'!A4:AB4</f>
        <v>제작치수 반영 : JB/JD +(3 ),  늘어난치수K -(3),  C + (0),  U +(0), OP1/OP3 - (2), R - (0),  기둥차감 - (0),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341" t="s">
        <v>311</v>
      </c>
      <c r="AE4" s="341"/>
      <c r="AF4" s="341">
        <f>'4CO멍텅(실측)'!X7</f>
        <v>0</v>
      </c>
      <c r="AG4" s="341"/>
      <c r="AH4" s="9"/>
      <c r="AI4" s="185">
        <f ca="1">TODAY()</f>
        <v>45303</v>
      </c>
      <c r="AJ4" s="171"/>
      <c r="AK4" s="249" t="s">
        <v>235</v>
      </c>
      <c r="AL4" s="249"/>
      <c r="AM4" s="250"/>
      <c r="AN4" s="162" t="s">
        <v>215</v>
      </c>
      <c r="AO4" s="162"/>
      <c r="AP4" s="25"/>
      <c r="AQ4" s="25"/>
      <c r="AR4" s="24"/>
      <c r="AW4" s="24"/>
      <c r="BE4" s="178" t="s">
        <v>253</v>
      </c>
    </row>
    <row r="5" spans="1:58" ht="25.9" customHeight="1" x14ac:dyDescent="0.3">
      <c r="A5" s="165" t="s">
        <v>0</v>
      </c>
      <c r="B5" s="165" t="s">
        <v>1</v>
      </c>
      <c r="C5" s="165" t="s">
        <v>267</v>
      </c>
      <c r="D5" s="166" t="s">
        <v>261</v>
      </c>
      <c r="E5" s="165" t="s">
        <v>268</v>
      </c>
      <c r="F5" s="165" t="s">
        <v>18</v>
      </c>
      <c r="G5" s="166" t="s">
        <v>58</v>
      </c>
      <c r="H5" s="166" t="s">
        <v>269</v>
      </c>
      <c r="I5" s="166" t="s">
        <v>270</v>
      </c>
      <c r="J5" s="264" t="s">
        <v>60</v>
      </c>
      <c r="K5" s="264" t="s">
        <v>64</v>
      </c>
      <c r="L5" s="339" t="s">
        <v>65</v>
      </c>
      <c r="M5" s="339" t="s">
        <v>66</v>
      </c>
      <c r="N5" s="316" t="s">
        <v>293</v>
      </c>
      <c r="O5" s="316" t="s">
        <v>294</v>
      </c>
      <c r="P5" s="237" t="s">
        <v>62</v>
      </c>
      <c r="Q5" s="237" t="s">
        <v>63</v>
      </c>
      <c r="R5" s="165" t="s">
        <v>8</v>
      </c>
      <c r="S5" s="165" t="s">
        <v>9</v>
      </c>
      <c r="T5" s="165" t="s">
        <v>10</v>
      </c>
      <c r="U5" s="165" t="s">
        <v>11</v>
      </c>
      <c r="V5" s="165" t="s">
        <v>14</v>
      </c>
      <c r="W5" s="165" t="s">
        <v>15</v>
      </c>
      <c r="X5" s="165" t="s">
        <v>16</v>
      </c>
      <c r="Y5" s="165" t="s">
        <v>17</v>
      </c>
      <c r="Z5" s="165" t="s">
        <v>19</v>
      </c>
      <c r="AA5" s="165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6" t="s">
        <v>25</v>
      </c>
      <c r="AI5" s="262" t="s">
        <v>34</v>
      </c>
      <c r="AJ5" s="166" t="s">
        <v>35</v>
      </c>
      <c r="AK5" s="322" t="s">
        <v>203</v>
      </c>
      <c r="AL5" s="322"/>
      <c r="AM5" s="322"/>
      <c r="AN5" s="169" t="s">
        <v>212</v>
      </c>
      <c r="AO5" s="170"/>
      <c r="AP5" s="178" t="s">
        <v>304</v>
      </c>
      <c r="AQ5" s="178" t="s">
        <v>305</v>
      </c>
      <c r="AR5" s="261" t="s">
        <v>51</v>
      </c>
      <c r="AY5" s="179" t="s">
        <v>28</v>
      </c>
      <c r="AZ5" s="179"/>
      <c r="BA5" s="179" t="s">
        <v>29</v>
      </c>
      <c r="BB5" s="179"/>
      <c r="BE5" s="179"/>
    </row>
    <row r="6" spans="1:58" ht="48" customHeight="1" x14ac:dyDescent="0.3">
      <c r="A6" s="165"/>
      <c r="B6" s="165"/>
      <c r="C6" s="165"/>
      <c r="D6" s="165"/>
      <c r="E6" s="165"/>
      <c r="F6" s="165"/>
      <c r="G6" s="165"/>
      <c r="H6" s="165"/>
      <c r="I6" s="165"/>
      <c r="J6" s="265"/>
      <c r="K6" s="265"/>
      <c r="L6" s="340"/>
      <c r="M6" s="340"/>
      <c r="N6" s="317"/>
      <c r="O6" s="317"/>
      <c r="P6" s="238"/>
      <c r="Q6" s="238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5"/>
      <c r="AI6" s="263"/>
      <c r="AJ6" s="165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9"/>
      <c r="AQ6" s="179"/>
      <c r="AR6" s="261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</v>
      </c>
      <c r="D7" s="4">
        <f>'4CO멍텅(실측)'!D7</f>
        <v>0</v>
      </c>
      <c r="E7" s="4">
        <f>'4CO멍텅(실측)'!E7-CO4멍텅OP/2</f>
        <v>-1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-3</v>
      </c>
      <c r="AE7" s="13">
        <f>IF(CO4멍텅JB하부늘치=1,AD7,'4CO멍텅(실측)'!Y7-CO4멍텅늘치차감)</f>
        <v>-3</v>
      </c>
      <c r="AF7" s="13">
        <f>'4CO멍텅(실측)'!Z7-CO4멍텅늘치차감</f>
        <v>-3</v>
      </c>
      <c r="AG7" s="13">
        <f>IF(CO4멍텅JB하부늘치=1,AF7,'4CO멍텅(실측)'!AA7-CO4멍텅늘치차감)</f>
        <v>-3</v>
      </c>
      <c r="AH7" s="11" t="str">
        <f t="shared" ref="AH7" si="1">AW7&amp;"*"&amp;AX7</f>
        <v>0*-3.6</v>
      </c>
      <c r="AI7" s="12" t="str">
        <f t="shared" ref="AI7" si="2">AZ7&amp;"*"&amp;AY7</f>
        <v>0*-2.6</v>
      </c>
      <c r="AJ7" s="10" t="str">
        <f t="shared" ref="AJ7" si="3">BB7&amp;"*"&amp;BA7</f>
        <v>0*-2.6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0</v>
      </c>
      <c r="BA7" s="3">
        <f>U7+S7+MAX(L7,M7)+AC7-1.2*$AJ$3+IF(BE7=0,MAX(AF7,AG7))+IF(U7=0,1.2,0)-IF(AM7=90,2.4,0)</f>
        <v>-2.5999999999999996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4" t="str">
        <f>정보!K2</f>
        <v>(2UP) 실측서 ( 서울 종로구 조계종불교문화역사기념관-2차 ) _김운호소장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서울 종로구 조계종불교문화역사기념관-2차,   (재질) : HL Ecolor Bronze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72" t="str">
        <f>정보!B17</f>
        <v>제작치수 반영 : JB/JD +(3 ),  늘어난치수K -(0),  C + (0),   U + (0), OP - (2), R - (0),  기둥차감 - (0),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62" t="s">
        <v>215</v>
      </c>
      <c r="AD4" s="162"/>
      <c r="AE4" s="81" t="s">
        <v>234</v>
      </c>
    </row>
    <row r="5" spans="1:4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275</v>
      </c>
      <c r="I5" s="339" t="s">
        <v>276</v>
      </c>
      <c r="J5" s="339" t="s">
        <v>277</v>
      </c>
      <c r="K5" s="165" t="s">
        <v>8</v>
      </c>
      <c r="L5" s="165" t="s">
        <v>9</v>
      </c>
      <c r="M5" s="165" t="s">
        <v>10</v>
      </c>
      <c r="N5" s="165" t="s">
        <v>11</v>
      </c>
      <c r="O5" s="348" t="s">
        <v>14</v>
      </c>
      <c r="P5" s="346" t="s">
        <v>282</v>
      </c>
      <c r="Q5" s="346" t="s">
        <v>283</v>
      </c>
      <c r="R5" s="339" t="s">
        <v>129</v>
      </c>
      <c r="S5" s="339" t="s">
        <v>280</v>
      </c>
      <c r="T5" s="339" t="s">
        <v>281</v>
      </c>
      <c r="U5" s="165" t="s">
        <v>19</v>
      </c>
      <c r="V5" s="165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9" t="s">
        <v>212</v>
      </c>
      <c r="AD5" s="170"/>
      <c r="AE5" s="80" t="s">
        <v>231</v>
      </c>
    </row>
    <row r="6" spans="1:40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340"/>
      <c r="J6" s="340"/>
      <c r="K6" s="165"/>
      <c r="L6" s="165"/>
      <c r="M6" s="165"/>
      <c r="N6" s="165"/>
      <c r="O6" s="347"/>
      <c r="P6" s="347"/>
      <c r="Q6" s="347"/>
      <c r="R6" s="340"/>
      <c r="S6" s="340"/>
      <c r="T6" s="340"/>
      <c r="U6" s="165"/>
      <c r="V6" s="165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4" t="str">
        <f>정보!L2</f>
        <v>(2UP) 제작변환 ( 서울 종로구 조계종불교문화역사기념관-2차 ) _김운호소장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"/>
      <c r="AK1" s="1"/>
      <c r="AL1" s="273" t="s">
        <v>75</v>
      </c>
      <c r="AM1" s="273"/>
      <c r="AN1" s="273"/>
      <c r="AS1" s="24"/>
    </row>
    <row r="2" spans="1:54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00" t="s">
        <v>307</v>
      </c>
      <c r="H2" s="200"/>
      <c r="I2" s="200"/>
      <c r="J2" s="266">
        <v>0</v>
      </c>
      <c r="K2" s="266"/>
      <c r="L2" s="266"/>
      <c r="M2" s="266"/>
      <c r="N2" s="356" t="s">
        <v>113</v>
      </c>
      <c r="O2" s="356"/>
      <c r="P2" s="356"/>
      <c r="Q2" s="356"/>
      <c r="R2" s="281">
        <v>1</v>
      </c>
      <c r="S2" s="281"/>
      <c r="T2" s="357" t="s">
        <v>103</v>
      </c>
      <c r="U2" s="358"/>
      <c r="V2" s="359"/>
      <c r="W2" s="108">
        <v>0</v>
      </c>
      <c r="X2" s="121"/>
      <c r="Y2" s="267" t="s">
        <v>88</v>
      </c>
      <c r="Z2" s="268"/>
      <c r="AA2" s="278">
        <v>0</v>
      </c>
      <c r="AB2" s="278"/>
      <c r="AC2" s="258" t="s">
        <v>82</v>
      </c>
      <c r="AD2" s="275"/>
      <c r="AE2" s="276">
        <v>0</v>
      </c>
      <c r="AF2" s="276"/>
      <c r="AG2" s="98" t="s">
        <v>114</v>
      </c>
      <c r="AH2" s="274">
        <v>0</v>
      </c>
      <c r="AI2" s="274"/>
      <c r="AJ2" s="1"/>
      <c r="AK2" s="1"/>
      <c r="AL2" s="273"/>
      <c r="AM2" s="273"/>
      <c r="AN2" s="273"/>
      <c r="AS2" s="24"/>
    </row>
    <row r="3" spans="1:54" ht="33" customHeight="1" x14ac:dyDescent="0.3">
      <c r="A3" s="33" t="str">
        <f>'2UP(실측)'!A3</f>
        <v>현장명 : 서울 종로구 조계종불교문화역사기념관-2차,   (재질) : HL Ecolor Bronze 1.2T</v>
      </c>
      <c r="B3" s="2"/>
      <c r="C3" s="2"/>
      <c r="D3" s="2"/>
      <c r="E3" s="2"/>
      <c r="F3" s="2"/>
      <c r="G3" s="258" t="s">
        <v>76</v>
      </c>
      <c r="H3" s="258"/>
      <c r="I3" s="258"/>
      <c r="J3" s="269">
        <v>3</v>
      </c>
      <c r="K3" s="269"/>
      <c r="L3" s="269"/>
      <c r="M3" s="269"/>
      <c r="N3" s="258" t="s">
        <v>77</v>
      </c>
      <c r="O3" s="258"/>
      <c r="P3" s="270">
        <v>0</v>
      </c>
      <c r="Q3" s="270"/>
      <c r="R3" s="205" t="s">
        <v>227</v>
      </c>
      <c r="S3" s="205"/>
      <c r="T3" s="205"/>
      <c r="U3" s="272">
        <f>BA7</f>
        <v>1</v>
      </c>
      <c r="V3" s="272"/>
      <c r="W3" s="272"/>
      <c r="X3" s="122"/>
      <c r="Y3" s="282" t="s">
        <v>78</v>
      </c>
      <c r="Z3" s="282"/>
      <c r="AA3" s="277">
        <v>1</v>
      </c>
      <c r="AB3" s="277"/>
      <c r="AE3" s="165" t="s">
        <v>73</v>
      </c>
      <c r="AF3" s="165"/>
      <c r="AG3" s="106">
        <v>3</v>
      </c>
      <c r="AH3" s="4" t="s">
        <v>74</v>
      </c>
      <c r="AI3" s="138">
        <v>4</v>
      </c>
      <c r="AJ3" s="251" t="s">
        <v>329</v>
      </c>
      <c r="AK3" s="199"/>
      <c r="AL3" s="160">
        <f>AO7</f>
        <v>18.43494882292201</v>
      </c>
      <c r="AM3" s="25"/>
      <c r="AN3" s="24"/>
      <c r="AS3" s="24"/>
    </row>
    <row r="4" spans="1:54" ht="33" customHeight="1" x14ac:dyDescent="0.3">
      <c r="A4" s="349" t="str">
        <f>'2UP(실측)'!A4:AB4</f>
        <v>제작치수 반영 : JB/JD +(3 ),  늘어난치수K -(0),  C + (0),   U + (0), OP - (2), R - (0),  기둥차감 - (0), A + (1)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75"/>
      <c r="Y4" s="350" t="s">
        <v>330</v>
      </c>
      <c r="Z4" s="351"/>
      <c r="AA4" s="352">
        <f>AC7</f>
        <v>0</v>
      </c>
      <c r="AB4" s="353"/>
      <c r="AC4" s="75"/>
      <c r="AD4" s="75"/>
      <c r="AE4" s="75"/>
      <c r="AF4" s="75"/>
      <c r="AG4" s="9"/>
      <c r="AH4" s="185">
        <f ca="1">TODAY()</f>
        <v>45303</v>
      </c>
      <c r="AI4" s="171"/>
      <c r="AJ4" s="162" t="s">
        <v>215</v>
      </c>
      <c r="AK4" s="162"/>
      <c r="AL4" s="25"/>
      <c r="AM4" s="25"/>
      <c r="AN4" s="24"/>
      <c r="AS4" s="24"/>
      <c r="BA4" s="178" t="s">
        <v>253</v>
      </c>
    </row>
    <row r="5" spans="1:54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54" t="s">
        <v>60</v>
      </c>
      <c r="H5" s="254" t="s">
        <v>64</v>
      </c>
      <c r="I5" s="264" t="s">
        <v>65</v>
      </c>
      <c r="J5" s="264" t="s">
        <v>66</v>
      </c>
      <c r="K5" s="354" t="s">
        <v>278</v>
      </c>
      <c r="L5" s="354" t="s">
        <v>279</v>
      </c>
      <c r="M5" s="237" t="s">
        <v>62</v>
      </c>
      <c r="N5" s="237" t="s">
        <v>63</v>
      </c>
      <c r="O5" s="165" t="s">
        <v>8</v>
      </c>
      <c r="P5" s="165" t="s">
        <v>9</v>
      </c>
      <c r="Q5" s="165" t="s">
        <v>10</v>
      </c>
      <c r="R5" s="165" t="s">
        <v>11</v>
      </c>
      <c r="S5" s="348" t="s">
        <v>14</v>
      </c>
      <c r="T5" s="346" t="s">
        <v>282</v>
      </c>
      <c r="U5" s="346" t="s">
        <v>283</v>
      </c>
      <c r="V5" s="339" t="s">
        <v>129</v>
      </c>
      <c r="W5" s="339" t="s">
        <v>280</v>
      </c>
      <c r="X5" s="339" t="s">
        <v>281</v>
      </c>
      <c r="Y5" s="165" t="s">
        <v>19</v>
      </c>
      <c r="Z5" s="260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6" t="s">
        <v>25</v>
      </c>
      <c r="AH5" s="262" t="s">
        <v>34</v>
      </c>
      <c r="AI5" s="166" t="s">
        <v>35</v>
      </c>
      <c r="AJ5" s="169" t="s">
        <v>212</v>
      </c>
      <c r="AK5" s="170"/>
      <c r="AL5" s="178" t="s">
        <v>304</v>
      </c>
      <c r="AM5" s="178" t="s">
        <v>305</v>
      </c>
      <c r="AN5" s="261" t="s">
        <v>51</v>
      </c>
      <c r="AU5" s="179" t="s">
        <v>28</v>
      </c>
      <c r="AV5" s="179"/>
      <c r="AW5" s="179" t="s">
        <v>29</v>
      </c>
      <c r="AX5" s="179"/>
      <c r="BA5" s="179"/>
    </row>
    <row r="6" spans="1:54" ht="48" customHeight="1" x14ac:dyDescent="0.3">
      <c r="A6" s="165"/>
      <c r="B6" s="165"/>
      <c r="C6" s="165"/>
      <c r="D6" s="165"/>
      <c r="E6" s="165"/>
      <c r="F6" s="165"/>
      <c r="G6" s="255"/>
      <c r="H6" s="255"/>
      <c r="I6" s="265"/>
      <c r="J6" s="265"/>
      <c r="K6" s="355"/>
      <c r="L6" s="355"/>
      <c r="M6" s="238"/>
      <c r="N6" s="238"/>
      <c r="O6" s="165"/>
      <c r="P6" s="165"/>
      <c r="Q6" s="165"/>
      <c r="R6" s="165"/>
      <c r="S6" s="347"/>
      <c r="T6" s="347"/>
      <c r="U6" s="347"/>
      <c r="V6" s="340"/>
      <c r="W6" s="340"/>
      <c r="X6" s="340"/>
      <c r="Y6" s="165"/>
      <c r="Z6" s="260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5"/>
      <c r="AH6" s="263"/>
      <c r="AI6" s="165"/>
      <c r="AJ6" s="74" t="s">
        <v>213</v>
      </c>
      <c r="AK6" s="74" t="s">
        <v>214</v>
      </c>
      <c r="AL6" s="179"/>
      <c r="AM6" s="179"/>
      <c r="AN6" s="261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-2</v>
      </c>
      <c r="D7" s="4">
        <f>'2UP(실측)'!D7-UP2멍텅R</f>
        <v>0</v>
      </c>
      <c r="E7" s="4">
        <f>'2UP(실측)'!E7+MAX(AL7,AM7)+IF(BA7=1,AC7,0)+UP2멍텅JBJD늘림치수</f>
        <v>3</v>
      </c>
      <c r="F7" s="4">
        <f>'2UP(실측)'!F7+MAX(AL7,AM7)+IF(BA7=1,AE7,0)+UP2멍텅JBJD늘림치수</f>
        <v>3</v>
      </c>
      <c r="G7" s="4">
        <f>'2UP(실측)'!G7+AL7+IF(BA7=1,AC7,0)+UP2멍텅JB강제키움+UP2멍텅JBJD늘림치수</f>
        <v>3</v>
      </c>
      <c r="H7" s="4">
        <f>'2UP(실측)'!H7+AL7+IF(BA7=1,AD7,0)+UP2멍텅JB강제키움+UP2멍텅JBJD늘림치수-IF(UP2멍텅JB하부늘치=1,'2UP(실측)'!Y7-'2UP(실측)'!Z7,0)</f>
        <v>3</v>
      </c>
      <c r="I7" s="4">
        <f>'2UP(실측)'!I7+AM7+IF(BA7=1,AE7,0)+UP2멍텅JB강제키움+UP2멍텅JBJD늘림치수</f>
        <v>3</v>
      </c>
      <c r="J7" s="4">
        <f>'2UP(실측)'!J7+AM7+IF(BA7=1,AF7,0)+UP2멍텅JB강제키움+UP2멍텅JBJD늘림치수-IF(UP2멍텅JB하부늘치=1,'2UP(실측)'!AA7-'2UP(실측)'!AB7,0)</f>
        <v>3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0*0.6</v>
      </c>
      <c r="AH7" s="12" t="str">
        <f t="shared" ref="AH7" si="2">AV7&amp;"*"&amp;AU7</f>
        <v>0*0.4</v>
      </c>
      <c r="AI7" s="10" t="str">
        <f t="shared" ref="AI7" si="3">AX7&amp;"*"&amp;AW7</f>
        <v>0*0.4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18.43494882292201</v>
      </c>
      <c r="AP7" s="36">
        <f>E7-COS(RADIANS(AO7))*G7</f>
        <v>0.15395010584845892</v>
      </c>
      <c r="AQ7" s="36">
        <f>F7-COS(RADIANS(AO7))*I7</f>
        <v>0.15395010584845892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0.60000000000000031</v>
      </c>
      <c r="AU7" s="3">
        <f>Q7+O7+MAX(G7,H7)+AB7-1.2*$AI$3+IF(BA7=0,MAX(AC7,AD7))+IF(Q7=0,1.2,0)</f>
        <v>0.40000000000000013</v>
      </c>
      <c r="AV7" s="3">
        <f>MAX(S7,T7+U7)</f>
        <v>0</v>
      </c>
      <c r="AW7" s="3">
        <f>R7+P7+MAX(I7,J7)+AB7-1.2*$AI$3+IF(BA7=0,MAX(AE7,AF7))+IF(R7=0,1.2,0)</f>
        <v>0.40000000000000013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서울 종로구 조계종불교문화역사기념관-2차 ) _김운호소장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서울 종로구 조계종불교문화역사기념관-2차,   (재질) : HL Ecolor Bronze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72" t="str">
        <f>정보!B18</f>
        <v>제작치수 반영 : JB/JD +(3 ),  늘어난치수K -(0),  C + (0),   U + (0), OP - (2), R - (0),  기둥차감 - (0), A + (1)</v>
      </c>
      <c r="B4" s="172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2"/>
      <c r="AH4" s="172"/>
      <c r="AI4" s="162" t="s">
        <v>215</v>
      </c>
      <c r="AJ4" s="162"/>
      <c r="AK4" s="81" t="s">
        <v>234</v>
      </c>
    </row>
    <row r="5" spans="1:46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5" t="s">
        <v>4</v>
      </c>
      <c r="F5" s="165" t="s">
        <v>5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165" t="s">
        <v>8</v>
      </c>
      <c r="N5" s="165" t="s">
        <v>9</v>
      </c>
      <c r="O5" s="165" t="s">
        <v>10</v>
      </c>
      <c r="P5" s="165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39" t="s">
        <v>129</v>
      </c>
      <c r="V5" s="339" t="s">
        <v>280</v>
      </c>
      <c r="W5" s="339" t="s">
        <v>287</v>
      </c>
      <c r="X5" s="339" t="s">
        <v>281</v>
      </c>
      <c r="Y5" s="165" t="s">
        <v>19</v>
      </c>
      <c r="Z5" s="165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69" t="s">
        <v>212</v>
      </c>
      <c r="AJ5" s="170"/>
      <c r="AK5" s="80" t="s">
        <v>231</v>
      </c>
    </row>
    <row r="6" spans="1:46" ht="47.25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165"/>
      <c r="N6" s="165"/>
      <c r="O6" s="165"/>
      <c r="P6" s="165"/>
      <c r="Q6" s="347"/>
      <c r="R6" s="347"/>
      <c r="S6" s="347"/>
      <c r="T6" s="347"/>
      <c r="U6" s="340"/>
      <c r="V6" s="340"/>
      <c r="W6" s="340"/>
      <c r="X6" s="340"/>
      <c r="Y6" s="165"/>
      <c r="Z6" s="165"/>
      <c r="AA6" s="238"/>
      <c r="AB6" s="238"/>
      <c r="AC6" s="8" t="s">
        <v>52</v>
      </c>
      <c r="AD6" s="8" t="s">
        <v>302</v>
      </c>
      <c r="AE6" s="8" t="s">
        <v>53</v>
      </c>
      <c r="AF6" s="8" t="s">
        <v>54</v>
      </c>
      <c r="AG6" s="8" t="s">
        <v>303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4" t="str">
        <f>정보!L3</f>
        <v>(3UP) 제작변환 ( 서울 종로구 조계종불교문화역사기념관-2차 ) _김운호소장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"/>
      <c r="AQ1" s="1"/>
      <c r="AR1" s="273" t="s">
        <v>75</v>
      </c>
      <c r="AS1" s="273"/>
      <c r="AT1" s="273"/>
      <c r="AY1" s="24"/>
    </row>
    <row r="2" spans="1:60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350" t="s">
        <v>308</v>
      </c>
      <c r="H2" s="372"/>
      <c r="I2" s="372"/>
      <c r="J2" s="372"/>
      <c r="K2" s="351"/>
      <c r="L2" s="266">
        <v>0</v>
      </c>
      <c r="M2" s="266"/>
      <c r="N2" s="266"/>
      <c r="O2" s="266"/>
      <c r="P2" s="280" t="s">
        <v>113</v>
      </c>
      <c r="Q2" s="280"/>
      <c r="R2" s="280"/>
      <c r="S2" s="280"/>
      <c r="T2" s="281">
        <v>1</v>
      </c>
      <c r="U2" s="281"/>
      <c r="V2" s="267" t="s">
        <v>103</v>
      </c>
      <c r="W2" s="267"/>
      <c r="X2" s="268"/>
      <c r="Y2" s="373">
        <v>0</v>
      </c>
      <c r="Z2" s="374"/>
      <c r="AA2" s="370"/>
      <c r="AB2" s="371"/>
      <c r="AC2" s="267" t="s">
        <v>88</v>
      </c>
      <c r="AD2" s="268"/>
      <c r="AE2" s="278">
        <v>0</v>
      </c>
      <c r="AF2" s="278"/>
      <c r="AG2" s="258" t="s">
        <v>82</v>
      </c>
      <c r="AH2" s="258"/>
      <c r="AI2" s="275"/>
      <c r="AJ2" s="276">
        <v>0</v>
      </c>
      <c r="AK2" s="276"/>
      <c r="AL2" s="276"/>
      <c r="AM2" s="98" t="s">
        <v>114</v>
      </c>
      <c r="AN2" s="274">
        <v>0</v>
      </c>
      <c r="AO2" s="274"/>
      <c r="AP2" s="1"/>
      <c r="AQ2" s="1"/>
      <c r="AR2" s="273"/>
      <c r="AS2" s="273"/>
      <c r="AT2" s="273"/>
      <c r="AY2" s="24"/>
    </row>
    <row r="3" spans="1:60" ht="33" customHeight="1" x14ac:dyDescent="0.3">
      <c r="A3" s="33" t="str">
        <f>'3UP(실측)'!A3</f>
        <v>현장명 : 서울 종로구 조계종불교문화역사기념관-2차,   (재질) : HL Ecolor Bronze 1.2T</v>
      </c>
      <c r="B3" s="2"/>
      <c r="C3" s="2"/>
      <c r="D3" s="2"/>
      <c r="E3" s="2"/>
      <c r="F3" s="2"/>
      <c r="G3" s="357" t="s">
        <v>76</v>
      </c>
      <c r="H3" s="365"/>
      <c r="I3" s="365"/>
      <c r="J3" s="365"/>
      <c r="K3" s="366"/>
      <c r="L3" s="269">
        <v>3</v>
      </c>
      <c r="M3" s="269"/>
      <c r="N3" s="269"/>
      <c r="O3" s="269"/>
      <c r="P3" s="258" t="s">
        <v>77</v>
      </c>
      <c r="Q3" s="258"/>
      <c r="R3" s="270">
        <v>0</v>
      </c>
      <c r="S3" s="270"/>
      <c r="T3" s="367" t="s">
        <v>289</v>
      </c>
      <c r="U3" s="368"/>
      <c r="V3" s="368"/>
      <c r="W3" s="369"/>
      <c r="X3" s="272">
        <f>BG7</f>
        <v>1</v>
      </c>
      <c r="Y3" s="272"/>
      <c r="Z3" s="272"/>
      <c r="AA3" s="363"/>
      <c r="AB3" s="364"/>
      <c r="AC3" s="282" t="s">
        <v>78</v>
      </c>
      <c r="AD3" s="282"/>
      <c r="AE3" s="277">
        <v>1</v>
      </c>
      <c r="AF3" s="277"/>
      <c r="AJ3" s="165" t="s">
        <v>73</v>
      </c>
      <c r="AK3" s="165"/>
      <c r="AL3" s="165"/>
      <c r="AM3" s="106">
        <v>3</v>
      </c>
      <c r="AN3" s="4" t="s">
        <v>74</v>
      </c>
      <c r="AO3" s="138">
        <v>4</v>
      </c>
      <c r="AP3" s="361" t="s">
        <v>325</v>
      </c>
      <c r="AQ3" s="362"/>
      <c r="AR3" s="160">
        <f>AU7</f>
        <v>18.43494882292201</v>
      </c>
      <c r="AS3" s="25"/>
      <c r="AT3" s="24"/>
      <c r="AY3" s="24"/>
    </row>
    <row r="4" spans="1:60" ht="33" customHeight="1" x14ac:dyDescent="0.3">
      <c r="A4" s="349" t="str">
        <f>'3UP(실측)'!A4:AH4</f>
        <v>제작치수 반영 : JB/JD +(3 ),  늘어난치수K -(0),  C + (0),   U + (0), OP - (2), R - (0),  기둥차감 - (0), A + (1)</v>
      </c>
      <c r="B4" s="349"/>
      <c r="C4" s="349"/>
      <c r="D4" s="349"/>
      <c r="E4" s="349"/>
      <c r="F4" s="349"/>
      <c r="G4" s="349"/>
      <c r="H4" s="349"/>
      <c r="I4" s="349"/>
      <c r="J4" s="349"/>
      <c r="K4" s="349"/>
      <c r="L4" s="349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75"/>
      <c r="AB4" s="75"/>
      <c r="AC4" s="352" t="s">
        <v>331</v>
      </c>
      <c r="AD4" s="259"/>
      <c r="AE4" s="259">
        <f>AG7</f>
        <v>0</v>
      </c>
      <c r="AF4" s="353"/>
      <c r="AG4" s="75"/>
      <c r="AH4" s="75"/>
      <c r="AI4" s="75"/>
      <c r="AJ4" s="75"/>
      <c r="AK4" s="75"/>
      <c r="AL4" s="75"/>
      <c r="AM4" s="9"/>
      <c r="AN4" s="185">
        <f ca="1">TODAY()</f>
        <v>45303</v>
      </c>
      <c r="AO4" s="171"/>
      <c r="AP4" s="162" t="s">
        <v>215</v>
      </c>
      <c r="AQ4" s="162"/>
      <c r="AR4" s="25"/>
      <c r="AS4" s="25"/>
      <c r="AT4" s="24"/>
      <c r="AY4" s="24"/>
      <c r="BG4" s="178" t="s">
        <v>253</v>
      </c>
    </row>
    <row r="5" spans="1:60" ht="25.9" customHeight="1" x14ac:dyDescent="0.3">
      <c r="A5" s="165" t="s">
        <v>0</v>
      </c>
      <c r="B5" s="165" t="s">
        <v>1</v>
      </c>
      <c r="C5" s="165" t="s">
        <v>3</v>
      </c>
      <c r="D5" s="165" t="s">
        <v>18</v>
      </c>
      <c r="E5" s="166" t="s">
        <v>58</v>
      </c>
      <c r="F5" s="166" t="s">
        <v>59</v>
      </c>
      <c r="G5" s="264" t="s">
        <v>274</v>
      </c>
      <c r="H5" s="264" t="s">
        <v>284</v>
      </c>
      <c r="I5" s="264" t="s">
        <v>275</v>
      </c>
      <c r="J5" s="339" t="s">
        <v>276</v>
      </c>
      <c r="K5" s="339" t="s">
        <v>285</v>
      </c>
      <c r="L5" s="339" t="s">
        <v>277</v>
      </c>
      <c r="M5" s="354" t="s">
        <v>278</v>
      </c>
      <c r="N5" s="354" t="s">
        <v>288</v>
      </c>
      <c r="O5" s="237" t="s">
        <v>62</v>
      </c>
      <c r="P5" s="237" t="s">
        <v>63</v>
      </c>
      <c r="Q5" s="165" t="s">
        <v>8</v>
      </c>
      <c r="R5" s="165" t="s">
        <v>9</v>
      </c>
      <c r="S5" s="165" t="s">
        <v>10</v>
      </c>
      <c r="T5" s="165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39" t="s">
        <v>129</v>
      </c>
      <c r="Z5" s="339" t="s">
        <v>280</v>
      </c>
      <c r="AA5" s="339" t="s">
        <v>287</v>
      </c>
      <c r="AB5" s="339" t="s">
        <v>281</v>
      </c>
      <c r="AC5" s="165" t="s">
        <v>19</v>
      </c>
      <c r="AD5" s="260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6" t="s">
        <v>25</v>
      </c>
      <c r="AN5" s="262" t="s">
        <v>34</v>
      </c>
      <c r="AO5" s="166" t="s">
        <v>35</v>
      </c>
      <c r="AP5" s="169" t="s">
        <v>212</v>
      </c>
      <c r="AQ5" s="170"/>
      <c r="AR5" s="178" t="s">
        <v>304</v>
      </c>
      <c r="AS5" s="178" t="s">
        <v>305</v>
      </c>
      <c r="AT5" s="261" t="s">
        <v>51</v>
      </c>
      <c r="BA5" s="179" t="s">
        <v>28</v>
      </c>
      <c r="BB5" s="179"/>
      <c r="BC5" s="179" t="s">
        <v>29</v>
      </c>
      <c r="BD5" s="179"/>
      <c r="BG5" s="179"/>
    </row>
    <row r="6" spans="1:60" ht="48" customHeight="1" x14ac:dyDescent="0.3">
      <c r="A6" s="165"/>
      <c r="B6" s="165"/>
      <c r="C6" s="165"/>
      <c r="D6" s="165"/>
      <c r="E6" s="165"/>
      <c r="F6" s="165"/>
      <c r="G6" s="265"/>
      <c r="H6" s="265"/>
      <c r="I6" s="265"/>
      <c r="J6" s="340"/>
      <c r="K6" s="340"/>
      <c r="L6" s="340"/>
      <c r="M6" s="355"/>
      <c r="N6" s="355"/>
      <c r="O6" s="238"/>
      <c r="P6" s="238"/>
      <c r="Q6" s="165"/>
      <c r="R6" s="165"/>
      <c r="S6" s="165"/>
      <c r="T6" s="165"/>
      <c r="U6" s="347"/>
      <c r="V6" s="347"/>
      <c r="W6" s="347"/>
      <c r="X6" s="347"/>
      <c r="Y6" s="340"/>
      <c r="Z6" s="340"/>
      <c r="AA6" s="340"/>
      <c r="AB6" s="340"/>
      <c r="AC6" s="165"/>
      <c r="AD6" s="260"/>
      <c r="AE6" s="238"/>
      <c r="AF6" s="238"/>
      <c r="AG6" s="8" t="s">
        <v>56</v>
      </c>
      <c r="AH6" s="8" t="s">
        <v>302</v>
      </c>
      <c r="AI6" s="8" t="s">
        <v>57</v>
      </c>
      <c r="AJ6" s="8" t="s">
        <v>54</v>
      </c>
      <c r="AK6" s="8" t="s">
        <v>303</v>
      </c>
      <c r="AL6" s="8" t="s">
        <v>55</v>
      </c>
      <c r="AM6" s="165"/>
      <c r="AN6" s="263"/>
      <c r="AO6" s="165"/>
      <c r="AP6" s="74" t="s">
        <v>213</v>
      </c>
      <c r="AQ6" s="74" t="s">
        <v>214</v>
      </c>
      <c r="AR6" s="179"/>
      <c r="AS6" s="179"/>
      <c r="AT6" s="261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0</v>
      </c>
      <c r="E7" s="4">
        <f>'3UP(실측)'!E7+MAX(AR7,AS7)+IF(BG7=1,AG7,0)+UP3멍텅JBJD늘림치수</f>
        <v>3</v>
      </c>
      <c r="F7" s="4">
        <f>'3UP(실측)'!F7+MAX(AR7,AS7)+IF(BG7=1,AJ7,0)+UP3멍텅JBJD늘림치수</f>
        <v>3</v>
      </c>
      <c r="G7" s="4">
        <f>'3UP(실측)'!G7+AR7+IF(BG7=1,AG7,0)+UP3멍텅JB강제키움+UP3멍텅JBJD늘림치수</f>
        <v>3</v>
      </c>
      <c r="H7" s="4">
        <f>'3UP(실측)'!H7+AR7+IF(BG7=1,AH7,0)+UP3멍텅JB강제키움+UP3멍텅JBJD늘림치수-IF(UP3멍텅JB하부늘치=1,'3UP(실측)'!AC7-'3UP(실측)'!AD7,0)</f>
        <v>3</v>
      </c>
      <c r="I7" s="4">
        <f>'3UP(실측)'!I7+AR7+IF(BG7=1,AI7,0)+UP3멍텅JB강제키움+UP3멍텅JBJD늘림치수-IF(UP3멍텅JB하부늘치=1,'3UP(실측)'!AC7-'3UP(실측)'!AE7,0)</f>
        <v>3</v>
      </c>
      <c r="J7" s="4">
        <f>'3UP(실측)'!J7+AS7+IF(BG7=1,AJ7,0)+UP3멍텅JB강제키움+UP3멍텅JBJD늘림치수</f>
        <v>3</v>
      </c>
      <c r="K7" s="4">
        <f>'3UP(실측)'!K7+AS7+IF(BG7=1,AK7,0)+UP3멍텅JB강제키움+UP3멍텅JBJD늘림치수-IF(UP3멍텅JB하부늘치=1,'3UP(실측)'!AF7-'3UP(실측)'!AG7,0)</f>
        <v>3</v>
      </c>
      <c r="L7" s="4">
        <f>'3UP(실측)'!L7+AS7+IF(BG7=1,AL7,0)+UP3멍텅JB강제키움+UP3멍텅JBJD늘림치수-IF(UP3멍텅JB하부늘치=1,'3UP(실측)'!AF7-'3UP(실측)'!AH7,0)</f>
        <v>3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0*0.6</v>
      </c>
      <c r="AN7" s="12" t="str">
        <f t="shared" ref="AN7" si="2">BB7&amp;"*"&amp;BA7</f>
        <v>0*0.4</v>
      </c>
      <c r="AO7" s="10" t="str">
        <f t="shared" ref="AO7" si="3">BD7&amp;"*"&amp;BC7</f>
        <v>0*0.4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18.43494882292201</v>
      </c>
      <c r="AV7" s="36">
        <f>E7-COS(RADIANS(AU7))*G7</f>
        <v>0.15395010584845892</v>
      </c>
      <c r="AW7" s="36">
        <f>F7-COS(RADIANS(AU7))*J7</f>
        <v>0.15395010584845892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0.60000000000000031</v>
      </c>
      <c r="BA7" s="3">
        <f>S7+Q7+MAX(G7,I7)+AF7-1.2*$AO$3+IF(BG7=0,MAX(AG7,AI7))+IF(S7=0,1.2,0)</f>
        <v>0.40000000000000013</v>
      </c>
      <c r="BB7" s="3">
        <f>MAX(U7,V7+W7+X7)</f>
        <v>0</v>
      </c>
      <c r="BC7" s="3">
        <f>T7+R7+MAX(J7,L7)+AF7-1.2*$AO$3+IF(BG7=0,MAX(AJ7,AL7))+IF(T7=0,1.2,0)</f>
        <v>0.40000000000000013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Mirae Lee</cp:lastModifiedBy>
  <cp:lastPrinted>2022-12-02T03:36:41Z</cp:lastPrinted>
  <dcterms:created xsi:type="dcterms:W3CDTF">2020-01-09T06:39:51Z</dcterms:created>
  <dcterms:modified xsi:type="dcterms:W3CDTF">2024-01-11T23:40:45Z</dcterms:modified>
</cp:coreProperties>
</file>